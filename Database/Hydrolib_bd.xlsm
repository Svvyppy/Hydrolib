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DEE08333-0328-477D-88F6-85E062E6319E}" xr6:coauthVersionLast="47" xr6:coauthVersionMax="47" xr10:uidLastSave="{00000000-0000-0000-0000-000000000000}"/>
  <bookViews>
    <workbookView xWindow="-120" yWindow="-120" windowWidth="29040" windowHeight="15840" tabRatio="896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5" i="1" l="1"/>
  <c r="E75" i="1"/>
  <c r="D75" i="1"/>
  <c r="C75" i="1"/>
  <c r="D73" i="1"/>
  <c r="F74" i="1"/>
  <c r="E74" i="1"/>
  <c r="D74" i="1"/>
  <c r="C74" i="1"/>
  <c r="F71" i="6"/>
  <c r="D71" i="6"/>
  <c r="F70" i="6"/>
  <c r="D70" i="6"/>
  <c r="C70" i="6"/>
  <c r="F73" i="1"/>
  <c r="F72" i="1"/>
  <c r="E72" i="1"/>
  <c r="D72" i="1"/>
  <c r="C72" i="1"/>
  <c r="F71" i="1"/>
  <c r="E71" i="1"/>
  <c r="D71" i="1"/>
  <c r="C71" i="1"/>
  <c r="C70" i="1"/>
  <c r="D70" i="1"/>
  <c r="F70" i="1"/>
  <c r="B15" i="8" l="1"/>
  <c r="C15" i="8"/>
  <c r="D15" i="8"/>
  <c r="F15" i="8"/>
  <c r="J15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<sst xmlns="http://schemas.openxmlformats.org/spreadsheetml/2006/main" count="4258" uniqueCount="1778">
  <si>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</si>
  <si>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</si>
  <si>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</si>
  <si>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</si>
  <si>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</si>
  <si>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</si>
  <si>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</si>
  <si>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</si>
  <si>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</si>
  <si>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</si>
  <si>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</si>
  <si>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</si>
  <si>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</si>
  <si>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</si>
  <si>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</si>
  <si>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</si>
  <si>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</si>
  <si>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</si>
  <si>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</si>
  <si>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</si>
  <si>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</si>
  <si>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</si>
  <si>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</si>
  <si>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</si>
  <si>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</si>
  <si>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</si>
  <si>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</si>
  <si>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</si>
  <si>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</si>
  <si>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</si>
  <si>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</si>
  <si>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</si>
  <si>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</si>
  <si>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</si>
  <si>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</si>
  <si>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</si>
  <si>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</si>
  <si>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</si>
  <si>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</si>
  <si>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</si>
  <si>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</si>
  <si>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</si>
  <si>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</si>
  <si>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</si>
  <si>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</si>
  <si>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</si>
  <si>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</si>
  <si>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</si>
  <si>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</si>
  <si>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</si>
  <si>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</si>
  <si>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</si>
  <si>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</si>
  <si>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</si>
  <si>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</si>
  <si>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</si>
  <si>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</si>
  <si>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</si>
  <si>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</si>
  <si>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</si>
  <si>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</si>
  <si>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</si>
  <si>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</si>
  <si>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</si>
  <si>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</si>
  <si>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</si>
  <si>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</si>
  <si>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</si>
  <si>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</si>
  <si>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</si>
  <si>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</si>
  <si>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</si>
  <si>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</si>
  <si>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</si>
  <si>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</si>
  <si>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</si>
  <si>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</si>
  <si>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</si>
  <si>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</si>
  <si>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</si>
  <si>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</si>
  <si>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</si>
  <si>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</si>
  <si>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</si>
  <si>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</si>
  <si>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</si>
  <si>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</si>
  <si>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</si>
  <si>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</si>
  <si>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</si>
  <si>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</si>
  <si>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</si>
  <si>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</si>
  <si>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</si>
  <si>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</si>
  <si>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</si>
  <si>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</si>
  <si>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</si>
  <si>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</si>
  <si>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</si>
  <si>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</si>
  <si>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</si>
  <si>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</si>
  <si>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</si>
  <si>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</si>
  <si>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</si>
  <si>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</si>
  <si>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</si>
  <si>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</si>
  <si>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</si>
  <si>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</si>
  <si>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</si>
  <si>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</si>
  <si>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</si>
  <si>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</si>
  <si>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</si>
  <si>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</si>
  <si>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</si>
  <si>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</si>
  <si>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</si>
  <si>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</si>
  <si>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</si>
  <si>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</si>
  <si>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</si>
  <si>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</si>
  <si>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</si>
  <si>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</si>
  <si>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</si>
  <si>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</si>
  <si>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</si>
  <si>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</si>
  <si>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</si>
  <si>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</si>
  <si>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</si>
  <si>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</si>
  <si>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</si>
  <si>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</si>
  <si>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</si>
  <si>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</si>
  <si>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</si>
  <si>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</si>
  <si>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</si>
  <si>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</si>
  <si>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</si>
  <si>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</si>
  <si>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</si>
  <si>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</si>
  <si>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</si>
  <si>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</si>
  <si>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</si>
  <si>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</si>
  <si>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</si>
  <si>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</si>
  <si>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</si>
  <si>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</si>
  <si>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</si>
  <si>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</si>
  <si>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</si>
  <si>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</si>
  <si>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</si>
  <si>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</si>
  <si>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</si>
  <si>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</si>
  <si>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</si>
  <si>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</si>
  <si>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</si>
  <si>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</si>
  <si>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</si>
  <si>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</si>
  <si>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</si>
  <si>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</si>
  <si>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</si>
  <si>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</si>
  <si>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</si>
  <si>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</si>
  <si>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</si>
  <si>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</si>
  <si>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</si>
  <si>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</si>
  <si>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</si>
  <si>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</si>
  <si>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</si>
  <si>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</si>
  <si>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</si>
  <si>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</si>
  <si>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</si>
  <si>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</si>
  <si>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</si>
  <si>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</si>
  <si>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</si>
  <si>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</si>
  <si>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</si>
  <si>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</si>
  <si>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</si>
  <si>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</si>
  <si>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</si>
  <si>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</si>
  <si>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</si>
  <si>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</si>
  <si>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</si>
  <si>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</si>
  <si>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</si>
  <si>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</si>
  <si>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</si>
  <si>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</si>
  <si>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</si>
  <si>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</si>
  <si>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</si>
  <si>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</si>
  <si>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</si>
  <si>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</si>
  <si>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</si>
  <si>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</si>
  <si>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</si>
  <si>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</si>
  <si>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</si>
  <si>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</si>
  <si>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</si>
  <si>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</si>
  <si>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</si>
  <si>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</si>
  <si>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</si>
  <si>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</si>
  <si>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</si>
  <si>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</si>
  <si>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</si>
  <si>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</si>
  <si>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</si>
  <si>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</si>
  <si>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</si>
  <si>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</si>
  <si>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</si>
  <si>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</si>
  <si>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</si>
  <si>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</si>
  <si>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</si>
  <si>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</si>
  <si>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</si>
  <si>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</si>
  <si>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</si>
  <si>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</si>
  <si>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</si>
  <si>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</si>
  <si>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</si>
  <si>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</si>
  <si>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</si>
  <si>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</si>
  <si>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</si>
  <si>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</si>
  <si>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</si>
  <si>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</si>
  <si>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</si>
  <si>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</si>
  <si>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</si>
  <si>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</si>
  <si>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</si>
  <si>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</si>
  <si>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</si>
  <si>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</si>
  <si>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</si>
  <si>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</si>
  <si>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</si>
  <si>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</si>
  <si>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</si>
  <si>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</si>
  <si>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</si>
  <si>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</si>
  <si>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</si>
  <si>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</si>
  <si>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</si>
  <si>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</si>
  <si>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</si>
  <si>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</si>
  <si>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</si>
  <si>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</si>
  <si>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</si>
  <si>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</si>
  <si>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</si>
  <si>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</si>
  <si>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</si>
  <si>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</si>
  <si>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</si>
  <si>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</si>
  <si>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</si>
  <si>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</si>
  <si>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</si>
  <si>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</si>
  <si>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</si>
  <si>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</si>
  <si>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</si>
  <si>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</si>
  <si>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</si>
  <si>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</si>
  <si>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</si>
  <si>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</si>
  <si>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</si>
  <si>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</si>
  <si>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</si>
  <si>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</si>
  <si>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</si>
  <si>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</si>
  <si>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</si>
  <si>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</si>
  <si>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</si>
  <si>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</si>
  <si>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</si>
  <si>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</si>
  <si>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</si>
  <si>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</si>
  <si>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</si>
  <si>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</si>
  <si>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</si>
  <si>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</si>
  <si>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</si>
  <si>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</si>
  <si>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</si>
  <si>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</si>
  <si>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</si>
  <si>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</si>
  <si>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</si>
  <si>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</si>
  <si>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</si>
  <si>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</si>
  <si>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</si>
  <si>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</si>
  <si>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</si>
  <si>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</si>
  <si>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</si>
  <si>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</si>
  <si>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</si>
  <si>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</si>
  <si>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</si>
  <si>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</si>
  <si>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</si>
  <si>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</si>
  <si>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</si>
  <si>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</si>
  <si>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</si>
  <si>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</si>
  <si>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</si>
  <si>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</si>
  <si>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</si>
  <si>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</si>
  <si>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</si>
  <si>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</si>
  <si>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</si>
  <si>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</si>
  <si>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</si>
  <si>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</si>
  <si>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</si>
  <si>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</si>
  <si>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</si>
  <si>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</si>
  <si>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</si>
  <si>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</si>
  <si>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</si>
  <si>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</si>
  <si>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</si>
  <si>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</si>
  <si>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</si>
  <si>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</si>
  <si>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</si>
  <si>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</si>
  <si>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</si>
  <si>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</si>
  <si>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</si>
  <si>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</si>
  <si>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</si>
  <si>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</si>
  <si>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</si>
  <si>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</si>
  <si>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</si>
  <si>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</si>
  <si>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</si>
  <si>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</si>
  <si>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</si>
  <si>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</si>
  <si>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</si>
  <si>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</si>
  <si>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</si>
  <si>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</si>
  <si>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</si>
  <si>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</si>
  <si>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</si>
  <si>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</si>
  <si>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</si>
  <si>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</si>
  <si>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</si>
  <si>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</si>
  <si>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</si>
  <si>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</si>
  <si>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</si>
  <si>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</si>
  <si>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</si>
  <si>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</si>
  <si>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</si>
  <si>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</si>
  <si>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</si>
  <si>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</si>
  <si>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</si>
  <si>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</si>
  <si>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</si>
  <si>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</si>
  <si>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</si>
  <si>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</si>
  <si>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</si>
  <si>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</si>
  <si>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</si>
  <si>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</si>
  <si>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</si>
  <si>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</si>
  <si>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</si>
  <si>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</si>
  <si>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</si>
  <si>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</si>
  <si>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</si>
  <si>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</si>
  <si>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</si>
  <si>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</si>
  <si>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</si>
  <si>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</si>
  <si>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</si>
  <si>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</si>
  <si>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</si>
  <si>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</si>
  <si>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</si>
  <si>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</si>
  <si>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</si>
  <si>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</si>
  <si>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</si>
  <si>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</si>
  <si>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</si>
  <si>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</si>
  <si>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</si>
  <si>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</si>
  <si>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</si>
  <si>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</si>
  <si>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</si>
  <si>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</si>
  <si>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</si>
  <si>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</si>
  <si>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</si>
  <si>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</si>
  <si>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</si>
  <si>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</si>
  <si>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</si>
  <si>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</si>
  <si>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</si>
  <si>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</si>
  <si>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</si>
  <si>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</si>
  <si>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</si>
  <si>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</si>
  <si>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</si>
  <si>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</si>
  <si>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</si>
  <si>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</si>
  <si>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</si>
  <si>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</si>
  <si>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</si>
  <si>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</si>
  <si>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</si>
  <si>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</si>
  <si>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</si>
  <si>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</si>
  <si>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</si>
  <si>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</si>
  <si>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</si>
  <si>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</si>
  <si>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</si>
  <si>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</si>
  <si>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</si>
  <si>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</si>
  <si>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</si>
  <si>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</si>
  <si>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</si>
  <si>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</si>
  <si>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</si>
  <si>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</si>
  <si>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</si>
  <si>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</si>
  <si>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</si>
  <si>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</si>
  <si>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</si>
  <si>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</si>
  <si>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</si>
  <si>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</si>
  <si>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</si>
  <si>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</si>
  <si>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</si>
  <si>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</si>
  <si>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</si>
  <si>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</si>
  <si>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</si>
  <si>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</si>
  <si>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</si>
  <si>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</si>
  <si>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</si>
  <si>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</si>
  <si>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</si>
  <si>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</si>
  <si>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</si>
  <si>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</si>
  <si>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</si>
  <si>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</si>
  <si>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</si>
  <si>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</si>
  <si>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</si>
  <si>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</si>
  <si>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</si>
  <si>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</si>
  <si>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</si>
  <si>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</si>
  <si>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</si>
  <si>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</si>
  <si>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</si>
  <si>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</si>
  <si>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</si>
  <si>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</si>
  <si>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</si>
  <si>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</si>
  <si>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</si>
  <si>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</si>
  <si>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</si>
  <si>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</si>
  <si>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</si>
  <si>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</si>
  <si>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</si>
  <si>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</si>
  <si>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</si>
  <si>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</si>
  <si>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</si>
  <si>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</si>
  <si>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</si>
  <si>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</si>
  <si>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</si>
  <si>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</si>
  <si>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</si>
  <si>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</si>
  <si>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</si>
  <si>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</si>
  <si>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</si>
  <si>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</si>
  <si>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</si>
  <si>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</si>
  <si>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</si>
  <si>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</si>
  <si>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</si>
  <si>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</si>
  <si>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</si>
  <si>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</si>
  <si>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</si>
  <si>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</si>
  <si>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</si>
  <si>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</si>
  <si>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</si>
  <si>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</si>
  <si>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</si>
  <si>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</si>
  <si>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</si>
  <si>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</si>
  <si>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</si>
  <si>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</si>
  <si>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</si>
  <si>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</si>
  <si>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</si>
  <si>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</si>
  <si>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</si>
  <si>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</si>
  <si>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</si>
  <si>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</si>
  <si>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</si>
  <si>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</si>
  <si>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</si>
  <si>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</si>
  <si>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</si>
  <si>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</si>
  <si>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</si>
  <si>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</si>
  <si>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</si>
  <si>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</si>
  <si>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</si>
  <si>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</si>
  <si>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</si>
  <si>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</si>
  <si>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</si>
  <si>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</si>
  <si>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</si>
  <si>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</si>
  <si>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</si>
  <si>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</si>
  <si>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</si>
  <si>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</si>
  <si>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</si>
  <si>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</si>
  <si>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</si>
  <si>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</si>
  <si>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</si>
  <si>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</si>
  <si>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</si>
  <si>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</si>
  <si>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</si>
  <si>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</si>
  <si>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</si>
  <si>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</si>
  <si>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</si>
  <si>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</si>
  <si>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</si>
  <si>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</si>
  <si>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</si>
  <si>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</si>
  <si>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</si>
  <si>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</si>
  <si>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</si>
  <si>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</si>
  <si>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</si>
  <si>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</si>
  <si>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</si>
  <si>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</si>
  <si>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</si>
  <si>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</si>
  <si>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</si>
  <si>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</si>
  <si>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</si>
  <si>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</si>
  <si>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</si>
  <si>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</si>
  <si>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</si>
  <si>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</si>
  <si>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</si>
  <si>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</si>
  <si>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</si>
  <si>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</si>
  <si>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</si>
  <si>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</si>
  <si>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</si>
  <si>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</si>
  <si>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</si>
  <si>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</si>
  <si>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</si>
  <si>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</si>
  <si>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</si>
  <si>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</si>
  <si>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</si>
  <si>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</si>
  <si>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</si>
  <si>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</si>
  <si>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</si>
  <si>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</si>
  <si>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</si>
  <si>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</si>
  <si>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</si>
  <si>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</si>
  <si>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</si>
  <si>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</si>
  <si>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</si>
  <si>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</si>
  <si>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</si>
  <si>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</si>
  <si>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</si>
  <si>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</si>
  <si>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</si>
  <si>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</si>
  <si>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</si>
  <si>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</si>
  <si>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</si>
  <si>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</si>
  <si>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</si>
  <si>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</si>
  <si>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</si>
  <si>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</si>
  <si>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</si>
  <si>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</si>
  <si>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</si>
  <si>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</si>
  <si>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</si>
  <si>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</si>
  <si>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</si>
  <si>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</si>
  <si>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</si>
  <si>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</si>
  <si>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</si>
  <si>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</si>
  <si>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</si>
  <si>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</si>
  <si>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</si>
  <si>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</si>
  <si>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</si>
  <si>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</si>
  <si>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</si>
  <si>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</si>
  <si>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</si>
  <si>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</si>
  <si>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</si>
  <si>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</si>
  <si>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</si>
  <si>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</si>
  <si>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</si>
  <si>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</si>
  <si>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</si>
  <si>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</si>
  <si>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</si>
  <si>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</si>
  <si>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</si>
  <si>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</si>
  <si>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</si>
  <si>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</si>
  <si>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</si>
  <si>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</si>
  <si>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</si>
  <si>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</si>
  <si>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</si>
  <si>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</si>
  <si>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</si>
  <si>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</si>
  <si>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</si>
  <si>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</si>
  <si>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</si>
  <si>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</si>
  <si>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</si>
  <si>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</si>
  <si>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</si>
  <si>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</si>
  <si>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</si>
  <si>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</si>
  <si>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</si>
  <si>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</si>
  <si>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</si>
  <si>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</si>
  <si>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</si>
  <si>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</si>
  <si>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</si>
  <si>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</si>
  <si>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</si>
  <si>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</si>
  <si>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</si>
  <si>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</si>
  <si>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</si>
  <si>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</si>
  <si>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</si>
  <si>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</si>
  <si>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</si>
  <si>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</si>
  <si>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</si>
  <si>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</si>
  <si>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</si>
  <si>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</si>
  <si>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</si>
  <si>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</si>
  <si>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</si>
  <si>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</si>
  <si>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</si>
  <si>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</si>
  <si>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</si>
  <si>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</si>
  <si>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</si>
  <si>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</si>
  <si>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</si>
  <si>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</si>
  <si>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</si>
  <si>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</si>
  <si>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</si>
  <si>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</si>
  <si>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</si>
  <si>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</si>
  <si>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</si>
  <si>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</si>
  <si>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</si>
  <si>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</si>
  <si>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</si>
  <si>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</si>
  <si>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</si>
  <si>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</si>
  <si>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</si>
  <si>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</si>
  <si>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</si>
  <si>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</si>
  <si>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</si>
  <si>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</si>
  <si>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</si>
  <si>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</si>
  <si>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</si>
  <si>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</si>
  <si>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</si>
  <si>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</si>
  <si>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</si>
  <si>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</si>
  <si>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</si>
  <si>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</si>
  <si>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</si>
  <si>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</si>
  <si>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</si>
  <si>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</si>
  <si>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</si>
  <si>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</si>
  <si>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</si>
  <si>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</si>
  <si>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</si>
  <si>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</si>
  <si>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</si>
  <si>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</si>
  <si>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</si>
  <si>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</si>
  <si>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</si>
  <si>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</si>
  <si>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</si>
  <si>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</si>
  <si>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</si>
  <si>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</si>
  <si>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</si>
  <si>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</si>
  <si>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</si>
  <si>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</si>
  <si>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</si>
  <si>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</si>
  <si>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</si>
  <si>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</si>
  <si>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</si>
  <si>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</si>
  <si>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</si>
  <si>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</si>
  <si>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</si>
  <si>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</si>
  <si>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</si>
  <si>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</si>
  <si>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</si>
  <si>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</si>
  <si>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</si>
  <si>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</si>
  <si>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</si>
  <si>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</si>
  <si>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</si>
  <si>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</si>
  <si>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</si>
  <si>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</si>
  <si>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</si>
  <si>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</si>
  <si>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</si>
  <si>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</si>
  <si>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</si>
  <si>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</si>
  <si>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</si>
  <si>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</si>
  <si>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</si>
  <si>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</si>
  <si>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</si>
  <si>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</si>
  <si>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</si>
  <si>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</si>
  <si>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</si>
  <si>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</si>
  <si>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</si>
  <si>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</si>
  <si>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</si>
  <si>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</si>
  <si>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</si>
  <si>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</si>
  <si>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</si>
  <si>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</si>
  <si>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</si>
  <si>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</si>
  <si>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</si>
  <si>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</si>
  <si>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</si>
  <si>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</si>
  <si>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</si>
  <si>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</si>
  <si>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</si>
  <si>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</si>
  <si>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</si>
  <si>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</si>
  <si>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</si>
  <si>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</si>
  <si>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</si>
  <si>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</si>
  <si>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</si>
  <si>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</si>
  <si>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</si>
  <si>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</si>
  <si>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</si>
  <si>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</si>
  <si>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</si>
  <si>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</si>
  <si>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</si>
  <si>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</si>
  <si>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</si>
  <si>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</si>
  <si>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</si>
  <si>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</si>
  <si>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</si>
  <si>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</si>
  <si>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</si>
  <si>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</si>
  <si>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</si>
  <si>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</si>
  <si>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</si>
  <si>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</si>
  <si>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</si>
  <si>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</si>
  <si>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</si>
  <si>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</si>
  <si>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</si>
  <si>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</si>
  <si>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</si>
  <si>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</si>
  <si>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</si>
  <si>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</si>
  <si>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</si>
  <si>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</si>
  <si>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</si>
  <si>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</si>
  <si>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</si>
  <si>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</si>
  <si>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</si>
  <si>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</si>
  <si>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</si>
  <si>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</si>
  <si>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</si>
  <si>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</si>
  <si>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</si>
  <si>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</si>
  <si>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</si>
  <si>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</si>
  <si>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</si>
  <si>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</si>
  <si>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</si>
  <si>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</si>
  <si>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</si>
  <si>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</si>
  <si>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</si>
  <si>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</si>
  <si>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</si>
  <si>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</si>
  <si>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</si>
  <si>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</si>
  <si>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</si>
  <si>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</si>
  <si>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</si>
  <si>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</si>
  <si>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</si>
  <si>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</si>
  <si>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</si>
  <si>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</si>
  <si>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</si>
  <si>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</si>
  <si>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</si>
  <si>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</si>
  <si>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</si>
  <si>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</si>
  <si>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</si>
  <si>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</si>
  <si>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</si>
  <si>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</si>
  <si>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</si>
  <si>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</si>
  <si>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</si>
  <si>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</si>
  <si>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</si>
  <si>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</si>
  <si>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</si>
  <si>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</si>
  <si>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</si>
  <si>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</si>
  <si>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</si>
  <si>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</si>
  <si>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</si>
  <si>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</si>
  <si>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</si>
  <si>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</si>
  <si>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</si>
  <si>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</si>
  <si>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</si>
  <si>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</si>
  <si>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</si>
  <si>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</si>
  <si>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</si>
  <si>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</si>
  <si>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</si>
  <si>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</si>
  <si>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</si>
  <si>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</si>
  <si>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</si>
  <si>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</si>
  <si>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</si>
  <si>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</si>
  <si>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</si>
  <si>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</si>
  <si>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</si>
  <si>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</si>
  <si>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</si>
  <si>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</si>
  <si>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</si>
  <si>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</si>
  <si>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</si>
  <si>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</si>
  <si>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</si>
  <si>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</si>
  <si>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</si>
  <si>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</si>
  <si>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</si>
  <si>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</si>
  <si>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</si>
  <si>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</si>
  <si>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</si>
  <si>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</si>
  <si>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</si>
  <si>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</si>
  <si>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</si>
  <si>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</si>
  <si>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</si>
  <si>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</si>
  <si>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</si>
  <si>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</si>
  <si>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</si>
  <si>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</si>
  <si>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</si>
  <si>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</si>
  <si>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</si>
  <si>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</si>
  <si>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</si>
  <si>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</si>
  <si>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</si>
  <si>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</si>
  <si>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</si>
  <si>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</si>
  <si>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</si>
  <si>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</si>
  <si>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</si>
  <si>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</si>
  <si>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</si>
  <si>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</si>
  <si>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</si>
  <si>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</si>
  <si>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</si>
  <si>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</si>
  <si>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</si>
  <si>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</si>
  <si>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</si>
  <si>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</si>
  <si>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</si>
  <si>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</si>
  <si>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</si>
  <si>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</si>
  <si>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</si>
  <si>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</si>
  <si>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</si>
  <si>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</si>
  <si>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</si>
  <si>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</si>
  <si>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</si>
  <si>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</si>
  <si>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</si>
  <si>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</si>
  <si>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</si>
  <si>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</si>
  <si>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</si>
  <si>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</si>
  <si>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</si>
  <si>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</si>
  <si>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</si>
  <si>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</si>
  <si>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</si>
  <si>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</si>
  <si>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</si>
  <si>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</si>
  <si>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</si>
  <si>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</si>
  <si>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</si>
  <si>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</si>
  <si>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</si>
  <si>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</si>
  <si>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</si>
  <si>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</si>
  <si>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</si>
  <si>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</si>
  <si>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</si>
  <si>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</si>
  <si>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</si>
  <si>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</si>
  <si>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</si>
  <si>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</si>
  <si>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</si>
  <si>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</si>
  <si>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</si>
  <si>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</si>
  <si>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</si>
  <si>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</si>
  <si>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</si>
  <si>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</si>
  <si>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</si>
  <si>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</si>
  <si>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</si>
  <si>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</si>
  <si>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</si>
  <si>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</si>
  <si>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</si>
  <si>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</si>
  <si>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</si>
  <si>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</si>
  <si>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</si>
  <si>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</si>
  <si>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</si>
  <si>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</si>
  <si>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</si>
  <si>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</si>
  <si>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</si>
  <si>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</si>
  <si>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</si>
  <si>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</si>
  <si>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</si>
  <si>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</si>
  <si>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</si>
  <si>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</si>
  <si>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</si>
  <si>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</si>
  <si>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</si>
  <si>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</si>
  <si>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</si>
  <si>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</si>
  <si>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</si>
  <si>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</si>
  <si>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</si>
  <si>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</si>
  <si>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</si>
  <si>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</si>
  <si>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</si>
  <si>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</si>
  <si>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</si>
  <si>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</si>
  <si>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</si>
  <si>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</si>
  <si>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</si>
  <si>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</si>
  <si>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</si>
  <si>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</si>
  <si>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</si>
  <si>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</si>
  <si>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</si>
  <si>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</si>
  <si>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</si>
  <si>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</si>
  <si>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</si>
  <si>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</si>
  <si>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</si>
  <si>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</si>
  <si>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</si>
  <si>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</si>
  <si>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</si>
  <si>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</si>
  <si>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</si>
  <si>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</si>
  <si>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</si>
  <si>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</si>
  <si>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</si>
  <si>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</si>
  <si>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</si>
  <si>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</si>
  <si>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</si>
  <si>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</si>
  <si>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</si>
  <si>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</si>
  <si>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</si>
  <si>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</si>
  <si>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</si>
  <si>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</si>
  <si>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</si>
  <si>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</si>
  <si>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</si>
  <si>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</si>
  <si>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</si>
  <si>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</si>
  <si>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</si>
  <si>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</si>
  <si>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</si>
  <si>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</si>
  <si>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</si>
  <si>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</si>
  <si>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</si>
  <si>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</si>
  <si>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</si>
  <si>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</si>
  <si>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</si>
  <si>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</si>
  <si>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</si>
  <si>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</si>
  <si>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</si>
  <si>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</si>
  <si>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</si>
  <si>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</si>
  <si>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</si>
  <si>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</si>
  <si>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</si>
  <si>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</si>
  <si>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</si>
  <si>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</si>
  <si>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</si>
  <si>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</si>
  <si>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</si>
  <si>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</si>
  <si>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</si>
  <si>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</si>
  <si>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</si>
  <si>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</si>
  <si>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</si>
  <si>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</si>
  <si>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</si>
  <si>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</si>
  <si>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</si>
  <si>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</si>
  <si>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</si>
  <si>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</si>
  <si>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</si>
  <si>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</si>
  <si>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</si>
  <si>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</si>
  <si>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</si>
  <si>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</si>
  <si>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</si>
  <si>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</si>
  <si>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</si>
  <si>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</si>
  <si>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</si>
  <si>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</si>
  <si>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</si>
  <si>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</si>
  <si>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</si>
  <si>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</si>
  <si>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</si>
  <si>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</si>
  <si>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</si>
  <si>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</si>
  <si>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</si>
  <si>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</si>
  <si>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</si>
  <si>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</si>
  <si>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</si>
  <si>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</si>
  <si>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</si>
  <si>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</si>
  <si>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</si>
  <si>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</si>
  <si>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</si>
  <si>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</si>
  <si>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</si>
  <si>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</si>
  <si>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</si>
  <si>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</si>
  <si>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</si>
  <si>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</si>
  <si>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</si>
  <si>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</si>
  <si>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</si>
  <si>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</si>
  <si>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</si>
  <si>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</si>
  <si>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</si>
  <si>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</si>
  <si>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</si>
  <si>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</si>
  <si>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</si>
  <si>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</si>
  <si>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</si>
  <si>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</si>
  <si>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</si>
  <si>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</si>
  <si>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</si>
  <si>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</si>
  <si>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</si>
  <si>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</si>
  <si>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</si>
  <si>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</si>
  <si>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</si>
  <si>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</si>
  <si>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</si>
  <si>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</si>
  <si>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</si>
  <si>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</si>
  <si>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</si>
  <si>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</si>
  <si>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</si>
  <si>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</si>
  <si>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</si>
  <si>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</si>
  <si>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</si>
  <si>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</si>
  <si>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</si>
  <si>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</si>
  <si>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</si>
  <si>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</si>
  <si>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</si>
  <si>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</si>
  <si>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</si>
  <si>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</si>
  <si>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</si>
  <si>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</si>
  <si>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</si>
  <si>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</si>
  <si>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</si>
  <si>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</si>
  <si>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</si>
  <si>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</si>
  <si>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</si>
  <si>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</si>
  <si>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</si>
  <si>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</si>
  <si>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</si>
  <si>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</si>
  <si>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</si>
  <si>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</si>
  <si>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</si>
  <si>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</si>
  <si>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</si>
  <si>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</si>
  <si>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</si>
  <si>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</si>
  <si>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</si>
  <si>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</si>
  <si>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</si>
  <si>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</si>
  <si>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</si>
  <si>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</si>
  <si>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</si>
  <si>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</si>
  <si>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</si>
  <si>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</si>
  <si>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</si>
  <si>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</si>
  <si>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</si>
  <si>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</si>
  <si>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</si>
  <si>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</si>
  <si>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</si>
  <si>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</si>
  <si>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</si>
  <si>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</si>
  <si>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</si>
  <si>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</si>
  <si>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</si>
  <si>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</si>
  <si>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</si>
  <si>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</si>
  <si>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</si>
  <si>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</si>
  <si>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</si>
  <si>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</si>
  <si>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</si>
  <si>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</si>
  <si>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</si>
  <si>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</si>
  <si>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</si>
  <si>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</si>
  <si>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</si>
  <si>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</si>
  <si>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</si>
  <si>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</si>
  <si>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</si>
  <si>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</si>
  <si>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</si>
  <si>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</si>
  <si>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</si>
  <si>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</si>
  <si>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</si>
  <si>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</si>
  <si>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</si>
  <si>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</si>
  <si>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</si>
  <si>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</si>
  <si>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</si>
  <si>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</si>
  <si>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</si>
  <si>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</si>
  <si>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</si>
  <si>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</si>
  <si>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</si>
  <si>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</si>
  <si>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</si>
  <si>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</si>
  <si>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</si>
  <si>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</si>
  <si>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</si>
  <si>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</si>
  <si>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</si>
  <si>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</si>
  <si>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</si>
  <si>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</si>
  <si>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</si>
  <si>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</si>
  <si>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</si>
  <si>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</si>
  <si>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</si>
  <si>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</si>
  <si>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</si>
  <si>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</si>
  <si>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</si>
  <si>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</si>
  <si>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</si>
  <si>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</si>
  <si>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</si>
  <si>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</si>
  <si>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</si>
  <si>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</si>
  <si>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</si>
  <si>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</si>
  <si>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</si>
  <si>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</si>
  <si>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</si>
  <si>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</si>
  <si>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</si>
  <si>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</si>
  <si>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</si>
  <si>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</si>
  <si>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</si>
  <si>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</si>
  <si>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</si>
  <si>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</si>
  <si>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</si>
  <si>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</si>
  <si>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</si>
  <si>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</si>
  <si>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</si>
  <si>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</si>
  <si>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</si>
  <si>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</si>
  <si>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</si>
  <si>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</si>
  <si>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</si>
  <si>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</si>
  <si>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</si>
  <si>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</si>
  <si>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</si>
  <si>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</si>
  <si>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</si>
  <si>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</si>
  <si>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</si>
  <si>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</si>
  <si>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</si>
  <si>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</si>
  <si>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</si>
  <si>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</si>
  <si>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</si>
  <si>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</si>
  <si>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</si>
  <si>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</si>
  <si>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</si>
  <si>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</si>
  <si>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</si>
  <si>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</si>
  <si>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</si>
  <si>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</si>
  <si>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</si>
  <si>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</si>
  <si>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</si>
  <si>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</si>
  <si>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</si>
  <si>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</si>
  <si>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</si>
  <si>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</si>
  <si>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</si>
  <si>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</si>
  <si>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</si>
  <si>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</si>
  <si>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</si>
  <si>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</si>
  <si>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</si>
  <si>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</si>
  <si>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</si>
  <si>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</si>
  <si>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</si>
  <si>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</si>
  <si>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</si>
  <si>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</si>
  <si>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</si>
  <si>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</si>
  <si>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</si>
  <si>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</si>
  <si>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</si>
  <si>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</si>
  <si>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</si>
  <si>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</si>
  <si>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</si>
  <si>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</si>
  <si>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</si>
  <si>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</si>
  <si>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</si>
  <si>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</si>
  <si>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</si>
  <si>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</si>
  <si>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</si>
  <si>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</si>
  <si>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</si>
  <si>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</si>
  <si>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</si>
  <si>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</si>
  <si>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</si>
  <si>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</si>
  <si>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</si>
  <si>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</si>
  <si>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</si>
  <si>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</si>
  <si>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</si>
  <si>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</si>
  <si>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</si>
  <si>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</si>
  <si>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</si>
  <si>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</si>
  <si>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</si>
  <si>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</si>
  <si>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</si>
  <si>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</si>
  <si>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</si>
  <si>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</si>
  <si>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</si>
  <si>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</si>
  <si>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</si>
  <si>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</si>
  <si>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</si>
  <si>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</si>
  <si>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</si>
  <si>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</si>
  <si>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</si>
  <si>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</si>
  <si>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</si>
  <si>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</si>
  <si>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</si>
  <si>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</si>
  <si>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</si>
  <si>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</si>
  <si>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</si>
  <si>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</si>
  <si>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</si>
  <si>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</si>
  <si>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</si>
  <si>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</si>
  <si>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</si>
  <si>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</si>
  <si>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</si>
  <si>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</si>
  <si>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</si>
  <si>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</si>
  <si>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</si>
  <si>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</si>
  <si>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</si>
  <si>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</si>
  <si>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</si>
  <si>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</si>
  <si>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</si>
  <si>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</si>
  <si>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</si>
  <si>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</si>
  <si>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</si>
  <si>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</si>
  <si>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</si>
  <si>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</si>
  <si>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</si>
  <si>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</si>
  <si>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</si>
  <si>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</si>
  <si>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</si>
  <si>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</si>
  <si>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</si>
  <si>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</si>
  <si>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</si>
  <si>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</si>
  <si>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</si>
  <si>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</si>
  <si>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</si>
  <si>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</si>
  <si>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</si>
  <si>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</si>
  <si>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</si>
  <si>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</si>
  <si>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</si>
  <si>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</si>
  <si>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</si>
  <si>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</si>
  <si>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</si>
  <si>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</si>
  <si>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</si>
  <si>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</si>
  <si>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</si>
  <si>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</si>
  <si>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</si>
  <si>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</si>
  <si>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</si>
  <si>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</si>
  <si>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</si>
  <si>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</si>
  <si>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</si>
  <si>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</si>
  <si>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</si>
  <si>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</si>
  <si>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</si>
  <si>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</si>
  <si>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</si>
  <si>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</si>
  <si>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</si>
  <si>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</si>
  <si>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</si>
  <si>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</si>
  <si>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</si>
  <si>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</si>
  <si>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</si>
  <si>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</si>
  <si>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</si>
  <si>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</si>
  <si>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</si>
  <si>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</si>
  <si>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</si>
  <si>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</si>
  <si>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</si>
  <si>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</si>
  <si>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</si>
  <si>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</si>
  <si>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</si>
  <si>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</si>
  <si>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</si>
  <si>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</si>
  <si>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</si>
  <si>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</si>
  <si>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</si>
  <si>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</si>
  <si>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</si>
  <si>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</si>
  <si>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</si>
  <si>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</si>
  <si>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</si>
  <si>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</si>
  <si>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</si>
  <si>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</si>
  <si>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</si>
  <si>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</si>
  <si>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</si>
  <si>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</si>
  <si>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</si>
  <si>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</si>
  <si>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</si>
  <si>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</si>
  <si>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</si>
  <si>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</si>
  <si>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</si>
  <si>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</si>
  <si>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</si>
  <si>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</si>
  <si>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</si>
  <si>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</si>
  <si>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</si>
  <si>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</si>
  <si>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</si>
  <si>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</si>
  <si>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</si>
  <si>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</si>
  <si>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</si>
  <si>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</si>
  <si>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</si>
  <si>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</si>
  <si>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</si>
  <si>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</si>
  <si>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</si>
  <si>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</si>
  <si>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</si>
  <si>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</si>
  <si>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</si>
  <si>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</si>
  <si>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</si>
  <si>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</si>
  <si>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</si>
  <si>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</si>
  <si>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</si>
  <si>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</si>
  <si>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</si>
  <si>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</si>
  <si>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</si>
  <si>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</si>
  <si>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</si>
  <si>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</si>
  <si>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</si>
  <si>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</si>
  <si>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</si>
  <si>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</si>
  <si>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</si>
  <si>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</si>
  <si>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</si>
  <si>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</si>
  <si>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</si>
  <si>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</si>
  <si>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</si>
  <si>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</si>
  <si>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</si>
  <si>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</si>
  <si>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</si>
  <si>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</si>
  <si>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</si>
  <si>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</si>
  <si>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</si>
  <si>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</si>
  <si>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</si>
  <si>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</si>
  <si>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</si>
  <si>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</si>
  <si>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</si>
  <si>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</si>
  <si>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</si>
  <si>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</si>
  <si>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</si>
  <si>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</si>
  <si>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</si>
  <si>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</si>
  <si>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</si>
  <si>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</si>
  <si>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</si>
  <si>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</si>
  <si>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</si>
  <si>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</si>
  <si>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</si>
  <si>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</si>
  <si>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</si>
  <si>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</si>
  <si>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</si>
  <si>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</si>
  <si>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</si>
  <si>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</si>
  <si>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</si>
  <si>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</si>
  <si>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</si>
  <si>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</si>
  <si>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</si>
  <si>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</si>
  <si>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</si>
  <si>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</si>
  <si>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</si>
  <si>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</si>
  <si>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</si>
  <si>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</si>
  <si>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</si>
  <si>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</si>
  <si>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</si>
  <si>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</si>
  <si>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</si>
  <si>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</si>
  <si>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</si>
  <si>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</si>
  <si>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</si>
  <si>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</si>
  <si>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</si>
  <si>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URB2405YMD-15WR3</t>
  </si>
  <si>
    <t>DC-DC понижающий преобразователь, Vin: 9-36 В; 5 В; 3 А</t>
  </si>
  <si>
    <t>https://static.chipdip.ru/lib2/b/119/DOC073119166.pdf</t>
  </si>
  <si>
    <t>https://www.chipdip.ru/product/adr02bujz-reel7-analog-devices-8001656524</t>
  </si>
  <si>
    <t>Vouka05</t>
  </si>
  <si>
    <t>https://www.chipdip.ru/product/ads1220ipwr-24-bit-sigma-delta-texas-instruments-9000527504</t>
  </si>
  <si>
    <t>Vouka06</t>
  </si>
  <si>
    <t>https://www.chipdip.ru/product/max3051eka-t-can-transiver-1mbps-3.3v-sot-23-8-maxim-9000980588</t>
  </si>
  <si>
    <t>AP63203WU-7</t>
  </si>
  <si>
    <t>DC-DC Преобразователь</t>
  </si>
  <si>
    <t>ADR02BUJZ</t>
  </si>
  <si>
    <t>Источник опорного напряжения, 5В</t>
  </si>
  <si>
    <t>ADS1220IPWR</t>
  </si>
  <si>
    <t>24-Бит Sigma-Delta аналого-цифровой преобразователь</t>
  </si>
  <si>
    <t>Picoblade_532610371</t>
  </si>
  <si>
    <t>Picoblade 3-pin разъем</t>
  </si>
  <si>
    <t>Conn_3pin_2shield</t>
  </si>
  <si>
    <t>CONN_532610001-SD_03_MOL</t>
  </si>
  <si>
    <t>https://www.chipdip.ru/product/53398-0667-pin-header-signal-wire-to-board-1.25-mm-1-molex-8013238168?from=similar_product_calc</t>
  </si>
  <si>
    <t>PicoBlade_53398-0471</t>
  </si>
  <si>
    <t>Разъем PicoBlade 1.25 мм, 4pin</t>
  </si>
  <si>
    <t>Conn_4pin_2shield</t>
  </si>
  <si>
    <t>53398-0471</t>
  </si>
  <si>
    <t>https://www.chipdip.ru/product/53398-0471-razem-picoblade-1.25-mm-4pin-shtyrevoy-na-molex-9000180711</t>
  </si>
  <si>
    <t>Столбец1</t>
  </si>
  <si>
    <t>Столбец2</t>
  </si>
  <si>
    <t>abv228</t>
  </si>
  <si>
    <t>треханальный хуистор понижающий в корпусе lga1488 2А 1.2МГц</t>
  </si>
  <si>
    <t>Schematic\abv228.SchLib</t>
  </si>
  <si>
    <t>Footprints\SC-70-5.PcbLib</t>
  </si>
  <si>
    <t>CH676767</t>
  </si>
  <si>
    <t>Преобразователь интерфейса USB на садовый шланг 25мм</t>
  </si>
  <si>
    <t>ADM51</t>
  </si>
  <si>
    <t>Приемопередатчик RS485 с гальванической привязкой к VBAT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</si>
</sst>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13" fillId="0" borderId="0" xfId="0" applyFont="1"/>
    <xf numFmtId="0" fontId="0" fillId="0" borderId="0" xfId="0" applyAlignment="1">
      <alignment horizontal="left" vertical="top"/>
    </xf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5" tableType="xml" totalsRowShown="0" headerRowDxfId="146" connectionId="6">
  <autoFilter ref="A1:M75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5" tableType="xml" totalsRowShown="0" dataDxfId="141" connectionId="19">
  <autoFilter ref="A1:M15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72" tableType="xml" totalsRowShown="0" headerRowDxfId="3" connectionId="7">
  <autoFilter ref="A1:L7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5"/>
  <sheetViews>
    <sheetView topLeftCell="A37" zoomScale="85" zoomScaleNormal="85" workbookViewId="0">
      <selection activeCell="B75" sqref="B75"/>
    </sheetView>
  </sheetViews>
  <sheetFormatPr defaultRowHeight="15" x14ac:dyDescent="0.25"/>
  <cols>
    <col min="1" max="1" width="21.42578125" bestFit="1" customWidth="1"/>
    <col min="2" max="2" width="103.28515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28515625" bestFit="1" customWidth="1"/>
    <col min="7" max="7" width="21.42578125" bestFit="1" customWidth="1"/>
    <col min="8" max="8" width="22.7109375" bestFit="1" customWidth="1"/>
    <col min="9" max="9" width="18.28515625" bestFit="1" customWidth="1"/>
    <col min="10" max="10" width="16.42578125" customWidth="1"/>
    <col min="11" max="11" width="14.5703125" customWidth="1"/>
    <col min="12" max="12" width="13.28515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2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2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2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2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2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2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2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2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2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25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25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25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25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25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25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25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25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25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25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25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25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25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25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25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25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25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25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25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25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25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25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25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25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2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2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2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2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2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2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25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2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25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2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25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2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25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2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25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25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25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25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25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25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25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25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25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25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25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25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25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25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25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25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25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25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  <row r="70" spans="1:13" x14ac:dyDescent="0.25">
      <c r="A70" t="s">
        <v>1744</v>
      </c>
      <c r="B70" t="s">
        <v>1745</v>
      </c>
      <c r="C70" s="2" t="str">
        <f>A70</f>
        <v>URB2405YMD-15WR3</v>
      </c>
      <c r="D70" t="str">
        <f>CONCATENATE("Schematic\",A70,".SchLib")</f>
        <v>Schematic\URB2405YMD-15WR3.SchLib</v>
      </c>
      <c r="E70" t="s">
        <v>1744</v>
      </c>
      <c r="F70" t="str">
        <f>CONCATENATE("Footprints\",G70,".PcbLib")</f>
        <v>Footprints\URB2405YMD-15WR3.PcbLib</v>
      </c>
      <c r="G70" t="s">
        <v>1744</v>
      </c>
      <c r="L70" t="s">
        <v>1746</v>
      </c>
      <c r="M70" t="s">
        <v>1694</v>
      </c>
    </row>
    <row r="71" spans="1:13" x14ac:dyDescent="0.25">
      <c r="A71" t="s">
        <v>1754</v>
      </c>
      <c r="B71" t="s">
        <v>1755</v>
      </c>
      <c r="C71" s="2" t="str">
        <f>A71</f>
        <v>ADR02BUJZ</v>
      </c>
      <c r="D71" t="str">
        <f>CONCATENATE("Schematic\",A71,".SchLib")</f>
        <v>Schematic\ADR02BUJZ.SchLib</v>
      </c>
      <c r="E71" t="str">
        <f>A71</f>
        <v>ADR02BUJZ</v>
      </c>
      <c r="F71" t="str">
        <f t="shared" ref="F71:F72" si="32">CONCATENATE("Footprints\",G71,".PcbLib")</f>
        <v>Footprints\SOT23-5.PcbLib</v>
      </c>
      <c r="G71" s="56" t="s">
        <v>1376</v>
      </c>
      <c r="L71" s="38" t="s">
        <v>1747</v>
      </c>
      <c r="M71" t="s">
        <v>1748</v>
      </c>
    </row>
    <row r="72" spans="1:13" x14ac:dyDescent="0.25">
      <c r="A72" t="s">
        <v>1756</v>
      </c>
      <c r="B72" s="59" t="s">
        <v>1757</v>
      </c>
      <c r="C72" s="2" t="str">
        <f>A72</f>
        <v>ADS1220IPWR</v>
      </c>
      <c r="D72" t="str">
        <f>CONCATENATE("Schematic\",A72,".SchLib")</f>
        <v>Schematic\ADS1220IPWR.SchLib</v>
      </c>
      <c r="E72" t="str">
        <f>A72</f>
        <v>ADS1220IPWR</v>
      </c>
      <c r="F72" t="str">
        <f t="shared" si="32"/>
        <v>Footprints\TSSOP-16.PcbLib</v>
      </c>
      <c r="G72" t="s">
        <v>722</v>
      </c>
      <c r="L72" s="38" t="s">
        <v>1749</v>
      </c>
      <c r="M72" t="s">
        <v>1750</v>
      </c>
    </row>
    <row r="73" spans="1:13" x14ac:dyDescent="0.25">
      <c r="A73" t="s">
        <v>1752</v>
      </c>
      <c r="B73" t="s">
        <v>1753</v>
      </c>
      <c r="C73" t="s">
        <v>1752</v>
      </c>
      <c r="D73" t="str">
        <f>CONCATENATE("Schematic\",A73,".SchLib")</f>
        <v>Schematic\AP63203WU-7.SchLib</v>
      </c>
      <c r="E73" t="s">
        <v>1752</v>
      </c>
      <c r="F73" t="str">
        <f>CONCATENATE("Footprints\",G73,".PcbLib")</f>
        <v>Footprints\SOT23-8.PcbLib</v>
      </c>
      <c r="G73" t="s">
        <v>1697</v>
      </c>
      <c r="L73" s="38" t="s">
        <v>1751</v>
      </c>
      <c r="M73" t="s">
        <v>1750</v>
      </c>
    </row>
    <row r="74" spans="1:13" x14ac:dyDescent="0.25">
      <c r="A74" t="s">
        <v>1774</v>
      </c>
      <c r="B74" t="s">
        <v>1775</v>
      </c>
      <c r="C74" s="2" t="str">
        <f t="shared" ref="C74:C75" si="33">A74</f>
        <v>CH676767</v>
      </c>
      <c r="D74" t="str">
        <f t="shared" ref="D74:D75" si="34">CONCATENATE("Schematic\",A74,".SchLib")</f>
        <v>Schematic\CH676767.SchLib</v>
      </c>
      <c r="E74" t="str">
        <f t="shared" ref="E74:E75" si="35">A74</f>
        <v>CH676767</v>
      </c>
      <c r="F74" t="str">
        <f t="shared" ref="F74:F75" si="36">CONCATENATE("Footprints\",G74,".PcbLib")</f>
        <v>Footprints\SOT23-5.PcbLib</v>
      </c>
      <c r="G74" t="s">
        <v>1376</v>
      </c>
      <c r="L74" t="s">
        <v>1576</v>
      </c>
      <c r="M74" t="s">
        <v>1425</v>
      </c>
    </row>
    <row r="75" spans="1:13" x14ac:dyDescent="0.25">
      <c r="A75" t="s">
        <v>1776</v>
      </c>
      <c r="B75" t="s">
        <v>1777</v>
      </c>
      <c r="C75" s="2" t="str">
        <f t="shared" si="33"/>
        <v>ADM51</v>
      </c>
      <c r="D75" t="str">
        <f t="shared" si="34"/>
        <v>Schematic\ADM51.SchLib</v>
      </c>
      <c r="E75" t="str">
        <f t="shared" si="35"/>
        <v>ADM51</v>
      </c>
      <c r="F75" t="str">
        <f t="shared" si="36"/>
        <v>Footprints\SOIC-16W.PcbLib</v>
      </c>
      <c r="G75" t="s">
        <v>98</v>
      </c>
      <c r="L75" t="s">
        <v>1165</v>
      </c>
      <c r="M75" t="s">
        <v>1425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28515625" customWidth="1"/>
    <col min="4" max="4" width="31.28515625" bestFit="1" customWidth="1"/>
    <col min="5" max="5" width="14.7109375" bestFit="1" customWidth="1"/>
    <col min="6" max="6" width="25.28515625" bestFit="1" customWidth="1"/>
    <col min="7" max="7" width="16.5703125" bestFit="1" customWidth="1"/>
    <col min="8" max="8" width="12.7109375" customWidth="1"/>
    <col min="9" max="9" width="12.28515625" style="18" customWidth="1"/>
    <col min="10" max="10" width="13.28515625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2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25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2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2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25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25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25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25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25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25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2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5" x14ac:dyDescent="0.25"/>
  <cols>
    <col min="1" max="1" width="13.7109375" bestFit="1" customWidth="1"/>
    <col min="2" max="2" width="46.71093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7109375" bestFit="1" customWidth="1"/>
    <col min="8" max="8" width="19.7109375" bestFit="1" customWidth="1"/>
    <col min="9" max="9" width="21.5703125" bestFit="1" customWidth="1"/>
    <col min="10" max="10" width="12" bestFit="1" customWidth="1"/>
    <col min="11" max="11" width="7.7109375" bestFit="1" customWidth="1"/>
    <col min="12" max="12" width="10.7109375" customWidth="1"/>
    <col min="13" max="13" width="15.28515625" customWidth="1"/>
  </cols>
  <sheetData>
    <row r="1" spans="1:14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15" customHeight="1" x14ac:dyDescent="0.25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25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25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25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25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25">
      <c r="H7" s="2"/>
      <c r="I7" s="2"/>
      <c r="J7" s="2"/>
      <c r="K7" s="2"/>
    </row>
    <row r="8" spans="1:14" x14ac:dyDescent="0.25">
      <c r="H8" s="2"/>
      <c r="I8" s="2"/>
      <c r="J8" s="2"/>
      <c r="K8" s="2"/>
    </row>
    <row r="9" spans="1:14" x14ac:dyDescent="0.25">
      <c r="H9" s="2"/>
      <c r="I9" s="2"/>
      <c r="J9" s="2"/>
      <c r="K9" s="2"/>
    </row>
    <row r="10" spans="1:14" x14ac:dyDescent="0.25">
      <c r="H10" s="2"/>
      <c r="I10" s="2"/>
      <c r="J10" s="2"/>
      <c r="K10" s="2"/>
    </row>
    <row r="11" spans="1:14" x14ac:dyDescent="0.25">
      <c r="H11" s="2"/>
      <c r="I11" s="2"/>
      <c r="J11" s="2"/>
      <c r="K11" s="2"/>
    </row>
    <row r="12" spans="1:14" x14ac:dyDescent="0.25">
      <c r="H12" s="2"/>
      <c r="I12" s="2"/>
      <c r="J12" s="2"/>
      <c r="K12" s="2"/>
    </row>
    <row r="13" spans="1:14" x14ac:dyDescent="0.25">
      <c r="H13" s="2"/>
      <c r="I13" s="2"/>
      <c r="J13" s="2"/>
      <c r="K13" s="2"/>
    </row>
    <row r="14" spans="1:14" x14ac:dyDescent="0.25">
      <c r="H14" s="2"/>
      <c r="I14" s="2"/>
      <c r="J14" s="2"/>
      <c r="K14" s="2"/>
    </row>
    <row r="15" spans="1:14" x14ac:dyDescent="0.25">
      <c r="H15" s="2"/>
      <c r="I15" s="2"/>
      <c r="J15" s="2"/>
      <c r="K15" s="2"/>
    </row>
    <row r="16" spans="1:14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5"/>
  <sheetViews>
    <sheetView topLeftCell="B1" zoomScaleNormal="85" workbookViewId="0">
      <selection activeCell="E18" sqref="E18"/>
    </sheetView>
  </sheetViews>
  <sheetFormatPr defaultRowHeight="15" x14ac:dyDescent="0.25"/>
  <cols>
    <col min="1" max="1" width="20.42578125" customWidth="1"/>
    <col min="2" max="2" width="53.7109375" customWidth="1"/>
    <col min="3" max="3" width="15.7109375" customWidth="1"/>
    <col min="4" max="4" width="26.42578125" customWidth="1"/>
    <col min="5" max="5" width="11.7109375" customWidth="1"/>
    <col min="6" max="6" width="16.42578125" customWidth="1"/>
    <col min="7" max="7" width="15.42578125" customWidth="1"/>
    <col min="8" max="8" width="12.5703125" customWidth="1"/>
    <col min="9" max="9" width="11.7109375" customWidth="1"/>
    <col min="10" max="10" width="8" bestFit="1" customWidth="1"/>
    <col min="11" max="11" width="10.42578125" customWidth="1"/>
    <col min="12" max="12" width="13.28515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2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2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2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2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25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25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25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25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2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2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25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25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25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25">
      <c r="A15" t="s">
        <v>1742</v>
      </c>
      <c r="B15" t="str">
        <f xml:space="preserve"> 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t="str">
        <f>A15</f>
        <v>SMAJ5.0A-TR</v>
      </c>
      <c r="D15" t="str">
        <f>CONCATENATE("Schematic\TVS\",E15,".SchLib")</f>
        <v>Schematic\TVS\TVS_1_1dir.SchLib</v>
      </c>
      <c r="E15" t="s">
        <v>78</v>
      </c>
      <c r="F15" t="str">
        <f>CONCATENATE("Footprints\",G15,".PcbLib")</f>
        <v>Footprints\SMA.PcbLib</v>
      </c>
      <c r="G15" t="s">
        <v>128</v>
      </c>
      <c r="H15">
        <v>5</v>
      </c>
      <c r="I15">
        <v>400</v>
      </c>
      <c r="J15" t="str">
        <f xml:space="preserve"> CONCATENATE(H15," В")</f>
        <v>5 В</v>
      </c>
      <c r="L15" t="s">
        <v>1743</v>
      </c>
      <c r="M15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5" x14ac:dyDescent="0.25"/>
  <cols>
    <col min="1" max="1" width="14.7109375" customWidth="1"/>
    <col min="2" max="2" width="93.28515625" customWidth="1"/>
    <col min="3" max="3" width="12.42578125" bestFit="1" customWidth="1"/>
    <col min="4" max="4" width="35.7109375" bestFit="1" customWidth="1"/>
    <col min="5" max="5" width="24.42578125" bestFit="1" customWidth="1"/>
    <col min="6" max="6" width="23.28515625" bestFit="1" customWidth="1"/>
    <col min="7" max="7" width="16.7109375" customWidth="1"/>
    <col min="8" max="8" width="29.7109375" bestFit="1" customWidth="1"/>
    <col min="9" max="9" width="16.7109375" customWidth="1"/>
    <col min="12" max="12" width="13.71093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75" x14ac:dyDescent="0.25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75" x14ac:dyDescent="0.25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75" x14ac:dyDescent="0.25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75" x14ac:dyDescent="0.2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75" x14ac:dyDescent="0.25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75" x14ac:dyDescent="0.2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75" x14ac:dyDescent="0.25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75" x14ac:dyDescent="0.25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75" x14ac:dyDescent="0.25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75" x14ac:dyDescent="0.25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75" x14ac:dyDescent="0.25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75" x14ac:dyDescent="0.25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75" x14ac:dyDescent="0.25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28515625" bestFit="1" customWidth="1"/>
    <col min="4" max="4" width="24.42578125" bestFit="1" customWidth="1"/>
    <col min="5" max="5" width="13" bestFit="1" customWidth="1"/>
    <col min="6" max="6" width="8.28515625" bestFit="1" customWidth="1"/>
    <col min="7" max="7" width="12.28515625" bestFit="1" customWidth="1"/>
    <col min="8" max="8" width="32" bestFit="1" customWidth="1"/>
    <col min="9" max="9" width="16.7109375" bestFit="1" customWidth="1"/>
    <col min="10" max="10" width="41.28515625" customWidth="1"/>
    <col min="11" max="11" width="18.28515625" customWidth="1"/>
    <col min="12" max="12" width="41.28515625" customWidth="1"/>
    <col min="13" max="13" width="18.28515625" customWidth="1"/>
    <col min="14" max="14" width="16.71093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75" x14ac:dyDescent="0.2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75" x14ac:dyDescent="0.2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75" x14ac:dyDescent="0.2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75" x14ac:dyDescent="0.2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75" x14ac:dyDescent="0.2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75" x14ac:dyDescent="0.2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75" x14ac:dyDescent="0.2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75" x14ac:dyDescent="0.2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75" x14ac:dyDescent="0.2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75" x14ac:dyDescent="0.2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75" x14ac:dyDescent="0.2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75" x14ac:dyDescent="0.2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75" x14ac:dyDescent="0.2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75" x14ac:dyDescent="0.2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75" x14ac:dyDescent="0.2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75" x14ac:dyDescent="0.2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75" x14ac:dyDescent="0.2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75" x14ac:dyDescent="0.2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75" x14ac:dyDescent="0.2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75" x14ac:dyDescent="0.2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75" x14ac:dyDescent="0.2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75" x14ac:dyDescent="0.2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75" x14ac:dyDescent="0.2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75" x14ac:dyDescent="0.2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75" x14ac:dyDescent="0.2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75" x14ac:dyDescent="0.2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75" x14ac:dyDescent="0.2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75" x14ac:dyDescent="0.2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75" x14ac:dyDescent="0.2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75" x14ac:dyDescent="0.2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75" x14ac:dyDescent="0.2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75" x14ac:dyDescent="0.2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75" x14ac:dyDescent="0.2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75" x14ac:dyDescent="0.2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75" x14ac:dyDescent="0.2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75" x14ac:dyDescent="0.2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75" x14ac:dyDescent="0.2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75" x14ac:dyDescent="0.2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75" x14ac:dyDescent="0.2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75" x14ac:dyDescent="0.2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75" x14ac:dyDescent="0.2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75" x14ac:dyDescent="0.2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75" x14ac:dyDescent="0.2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75" x14ac:dyDescent="0.2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75" x14ac:dyDescent="0.2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75" x14ac:dyDescent="0.2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75" x14ac:dyDescent="0.2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75" x14ac:dyDescent="0.2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75" x14ac:dyDescent="0.2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75" x14ac:dyDescent="0.2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75" x14ac:dyDescent="0.2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75" x14ac:dyDescent="0.2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75" x14ac:dyDescent="0.2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75" x14ac:dyDescent="0.2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75" x14ac:dyDescent="0.2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75" x14ac:dyDescent="0.2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75" x14ac:dyDescent="0.2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75" x14ac:dyDescent="0.2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75" x14ac:dyDescent="0.2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75" x14ac:dyDescent="0.2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75" x14ac:dyDescent="0.2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75" x14ac:dyDescent="0.2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75" x14ac:dyDescent="0.2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75" x14ac:dyDescent="0.2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75" x14ac:dyDescent="0.2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75" x14ac:dyDescent="0.2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75" x14ac:dyDescent="0.2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75" x14ac:dyDescent="0.2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75" x14ac:dyDescent="0.2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75" x14ac:dyDescent="0.2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75" x14ac:dyDescent="0.2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75" x14ac:dyDescent="0.2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75" x14ac:dyDescent="0.2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75" x14ac:dyDescent="0.2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75" x14ac:dyDescent="0.2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2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75" x14ac:dyDescent="0.2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75" x14ac:dyDescent="0.2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75" x14ac:dyDescent="0.2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75" x14ac:dyDescent="0.2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75" x14ac:dyDescent="0.2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75" x14ac:dyDescent="0.2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75" x14ac:dyDescent="0.2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75" x14ac:dyDescent="0.2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75" x14ac:dyDescent="0.2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75" x14ac:dyDescent="0.2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75" x14ac:dyDescent="0.2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75" x14ac:dyDescent="0.2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75" x14ac:dyDescent="0.2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75" x14ac:dyDescent="0.2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75" x14ac:dyDescent="0.2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75" x14ac:dyDescent="0.2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75" x14ac:dyDescent="0.2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75" x14ac:dyDescent="0.2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75" x14ac:dyDescent="0.2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75" x14ac:dyDescent="0.2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75" x14ac:dyDescent="0.2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2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2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75" x14ac:dyDescent="0.2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75" x14ac:dyDescent="0.2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2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75" x14ac:dyDescent="0.2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75" x14ac:dyDescent="0.2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75" x14ac:dyDescent="0.2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75" x14ac:dyDescent="0.2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75" x14ac:dyDescent="0.2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75" x14ac:dyDescent="0.2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75" x14ac:dyDescent="0.2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75" x14ac:dyDescent="0.2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75" x14ac:dyDescent="0.2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75" x14ac:dyDescent="0.25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75" x14ac:dyDescent="0.2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75" x14ac:dyDescent="0.2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75" x14ac:dyDescent="0.2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75" x14ac:dyDescent="0.2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75" x14ac:dyDescent="0.2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75" x14ac:dyDescent="0.2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75" x14ac:dyDescent="0.2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75" x14ac:dyDescent="0.2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75" x14ac:dyDescent="0.2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75" x14ac:dyDescent="0.2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75" x14ac:dyDescent="0.2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75" x14ac:dyDescent="0.2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75" x14ac:dyDescent="0.2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75" x14ac:dyDescent="0.2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75" x14ac:dyDescent="0.2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75" x14ac:dyDescent="0.2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75" x14ac:dyDescent="0.2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75" x14ac:dyDescent="0.2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75" x14ac:dyDescent="0.2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75" x14ac:dyDescent="0.2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75" x14ac:dyDescent="0.2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75" x14ac:dyDescent="0.2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75" x14ac:dyDescent="0.2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75" x14ac:dyDescent="0.2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75" x14ac:dyDescent="0.2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75" x14ac:dyDescent="0.2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75" x14ac:dyDescent="0.2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75" x14ac:dyDescent="0.2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75" x14ac:dyDescent="0.2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75" x14ac:dyDescent="0.2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75" x14ac:dyDescent="0.2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75" x14ac:dyDescent="0.2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75" x14ac:dyDescent="0.2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75" x14ac:dyDescent="0.2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75" x14ac:dyDescent="0.2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75" x14ac:dyDescent="0.2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75" x14ac:dyDescent="0.2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75" x14ac:dyDescent="0.2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75" x14ac:dyDescent="0.2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75" x14ac:dyDescent="0.2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75" x14ac:dyDescent="0.2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75" x14ac:dyDescent="0.2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75" x14ac:dyDescent="0.2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75" x14ac:dyDescent="0.2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75" x14ac:dyDescent="0.2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75" x14ac:dyDescent="0.2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75" x14ac:dyDescent="0.2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75" x14ac:dyDescent="0.2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75" x14ac:dyDescent="0.2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75" x14ac:dyDescent="0.2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75" x14ac:dyDescent="0.2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75" x14ac:dyDescent="0.2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75" x14ac:dyDescent="0.2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75" x14ac:dyDescent="0.2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75" x14ac:dyDescent="0.2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75" x14ac:dyDescent="0.2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75" x14ac:dyDescent="0.2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75" x14ac:dyDescent="0.2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75" x14ac:dyDescent="0.2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75" x14ac:dyDescent="0.2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75" x14ac:dyDescent="0.2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75" x14ac:dyDescent="0.25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75" x14ac:dyDescent="0.25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75" x14ac:dyDescent="0.25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75" x14ac:dyDescent="0.25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75" x14ac:dyDescent="0.2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75" x14ac:dyDescent="0.2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75" x14ac:dyDescent="0.2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75" x14ac:dyDescent="0.25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75" x14ac:dyDescent="0.25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25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25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75" x14ac:dyDescent="0.25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75" x14ac:dyDescent="0.25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75" x14ac:dyDescent="0.25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75" x14ac:dyDescent="0.25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75" x14ac:dyDescent="0.25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75" x14ac:dyDescent="0.25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7109375" customWidth="1"/>
    <col min="6" max="6" width="20.7109375" customWidth="1"/>
    <col min="7" max="7" width="14.28515625" customWidth="1"/>
    <col min="8" max="8" width="13.140625" customWidth="1"/>
    <col min="9" max="10" width="13.28515625" customWidth="1"/>
    <col min="11" max="11" width="12.28515625" customWidth="1"/>
  </cols>
  <sheetData>
    <row r="1" spans="1:12" ht="15.75" x14ac:dyDescent="0.2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25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25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25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25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25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5" x14ac:dyDescent="0.25"/>
  <cols>
    <col min="1" max="1" width="15.42578125" bestFit="1" customWidth="1"/>
    <col min="2" max="2" width="23.28515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7109375" bestFit="1" customWidth="1"/>
    <col min="7" max="7" width="33.5703125" bestFit="1" customWidth="1"/>
    <col min="8" max="8" width="17.28515625" bestFit="1" customWidth="1"/>
    <col min="9" max="9" width="33.5703125" bestFit="1" customWidth="1"/>
    <col min="10" max="10" width="17.28515625" bestFit="1" customWidth="1"/>
    <col min="11" max="11" width="33.5703125" bestFit="1" customWidth="1"/>
    <col min="12" max="12" width="17.28515625" bestFit="1" customWidth="1"/>
    <col min="13" max="13" width="32.7109375" bestFit="1" customWidth="1"/>
    <col min="14" max="14" width="17.28515625" bestFit="1" customWidth="1"/>
    <col min="15" max="15" width="32.42578125" bestFit="1" customWidth="1"/>
    <col min="16" max="16" width="17.28515625" bestFit="1" customWidth="1"/>
    <col min="17" max="17" width="42.28515625" bestFit="1" customWidth="1"/>
    <col min="18" max="18" width="17.28515625" bestFit="1" customWidth="1"/>
    <col min="19" max="19" width="42.42578125" bestFit="1" customWidth="1"/>
    <col min="20" max="20" width="17.28515625" bestFit="1" customWidth="1"/>
    <col min="21" max="21" width="14.28515625" customWidth="1"/>
  </cols>
  <sheetData>
    <row r="1" spans="1:22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75" x14ac:dyDescent="0.25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5" x14ac:dyDescent="0.25"/>
  <cols>
    <col min="1" max="1" width="32" bestFit="1" customWidth="1"/>
    <col min="2" max="2" width="53.7109375" customWidth="1"/>
    <col min="3" max="3" width="11.7109375" customWidth="1"/>
    <col min="4" max="4" width="29.5703125" customWidth="1"/>
    <col min="5" max="5" width="25.28515625" customWidth="1"/>
    <col min="6" max="6" width="14.42578125" customWidth="1"/>
    <col min="7" max="7" width="9.7109375" customWidth="1"/>
    <col min="8" max="8" width="12.5703125" style="2" customWidth="1"/>
    <col min="9" max="9" width="14.42578125" customWidth="1"/>
    <col min="10" max="10" width="12" customWidth="1"/>
    <col min="11" max="11" width="25.7109375" customWidth="1"/>
    <col min="12" max="12" width="15.5703125" customWidth="1"/>
    <col min="13" max="13" width="14.7109375" customWidth="1"/>
    <col min="14" max="14" width="12.28515625" customWidth="1"/>
  </cols>
  <sheetData>
    <row r="1" spans="1:14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25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25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25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25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25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2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2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2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2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2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2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2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2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2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2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2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2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2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2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2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2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2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2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2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2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2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2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2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2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2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2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2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2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2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2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2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2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2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2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2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25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25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25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25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25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25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2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25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25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25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25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25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25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25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25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25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5" x14ac:dyDescent="0.25"/>
  <cols>
    <col min="1" max="1" width="27.5703125" bestFit="1" customWidth="1"/>
    <col min="2" max="2" width="23.28515625" bestFit="1" customWidth="1"/>
    <col min="3" max="3" width="12.28515625" bestFit="1" customWidth="1"/>
    <col min="4" max="4" width="29.42578125" bestFit="1" customWidth="1"/>
    <col min="5" max="5" width="14.28515625" bestFit="1" customWidth="1"/>
    <col min="6" max="6" width="8.28515625" bestFit="1" customWidth="1"/>
    <col min="7" max="7" width="12.28515625" bestFit="1" customWidth="1"/>
    <col min="8" max="8" width="13" bestFit="1" customWidth="1"/>
    <col min="9" max="9" width="8.7109375" bestFit="1" customWidth="1"/>
    <col min="10" max="10" width="30.28515625" bestFit="1" customWidth="1"/>
    <col min="11" max="11" width="16.7109375" bestFit="1" customWidth="1"/>
    <col min="12" max="12" width="14.7109375" bestFit="1" customWidth="1"/>
    <col min="13" max="13" width="19.28515625" customWidth="1"/>
    <col min="14" max="14" width="18.42578125" customWidth="1"/>
    <col min="15" max="15" width="13.28515625" customWidth="1"/>
  </cols>
  <sheetData>
    <row r="1" spans="1:16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25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25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25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25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25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25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25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25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25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25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25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25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25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25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25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25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25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25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25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25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25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25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25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25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25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25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25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25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25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5" x14ac:dyDescent="0.25"/>
  <cols>
    <col min="1" max="1" width="14.7109375" customWidth="1"/>
    <col min="2" max="2" width="77.7109375" customWidth="1"/>
    <col min="3" max="3" width="12" customWidth="1"/>
    <col min="4" max="4" width="27.28515625" customWidth="1"/>
    <col min="5" max="5" width="12.7109375" customWidth="1"/>
    <col min="6" max="6" width="36.28515625" customWidth="1"/>
    <col min="7" max="7" width="16.7109375" customWidth="1"/>
    <col min="8" max="8" width="18.28515625" customWidth="1"/>
    <col min="9" max="9" width="16.7109375" customWidth="1"/>
    <col min="10" max="10" width="18.28515625" customWidth="1"/>
    <col min="11" max="11" width="16.7109375" customWidth="1"/>
    <col min="12" max="12" width="18.28515625" customWidth="1"/>
    <col min="13" max="13" width="16.7109375" customWidth="1"/>
    <col min="14" max="14" width="18" style="18" bestFit="1" customWidth="1"/>
    <col min="15" max="15" width="13.5703125" bestFit="1" customWidth="1"/>
    <col min="16" max="16" width="8.5703125" bestFit="1" customWidth="1"/>
    <col min="17" max="17" width="12.28515625" customWidth="1"/>
  </cols>
  <sheetData>
    <row r="1" spans="1:18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2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2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25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25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25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25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25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25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25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25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25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25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25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2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2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2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2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2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2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25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25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25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25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25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25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25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25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25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25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28515625" customWidth="1"/>
    <col min="5" max="5" width="20.5703125" customWidth="1"/>
    <col min="6" max="6" width="21.7109375" customWidth="1"/>
    <col min="7" max="7" width="17.7109375" customWidth="1"/>
    <col min="8" max="8" width="22.7109375" customWidth="1"/>
    <col min="9" max="9" width="18.42578125" customWidth="1"/>
    <col min="10" max="10" width="16.7109375" customWidth="1"/>
    <col min="11" max="11" width="12.42578125" customWidth="1"/>
    <col min="12" max="12" width="13.28515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75" x14ac:dyDescent="0.25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2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5" x14ac:dyDescent="0.25"/>
  <cols>
    <col min="1" max="1" width="14.7109375" customWidth="1"/>
    <col min="2" max="2" width="120" bestFit="1" customWidth="1"/>
    <col min="3" max="3" width="20" customWidth="1"/>
    <col min="4" max="4" width="35.28515625" customWidth="1"/>
    <col min="5" max="5" width="14.42578125" customWidth="1"/>
    <col min="6" max="6" width="36.7109375" customWidth="1"/>
    <col min="7" max="7" width="16.7109375" customWidth="1"/>
    <col min="8" max="8" width="20.7109375" customWidth="1"/>
    <col min="9" max="9" width="16.7109375" customWidth="1"/>
    <col min="10" max="10" width="31.28515625" bestFit="1" customWidth="1"/>
    <col min="11" max="11" width="17.42578125" bestFit="1" customWidth="1"/>
    <col min="12" max="12" width="22.42578125" customWidth="1"/>
    <col min="13" max="13" width="17.85546875" customWidth="1"/>
    <col min="15" max="15" width="11.710937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2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25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25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25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25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25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25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25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25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2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2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2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25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25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25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25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25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25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25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25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25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25">
      <c r="A27" t="s">
        <v>1728</v>
      </c>
      <c r="B27" t="s">
        <v>55</v>
      </c>
      <c r="C27" t="str">
        <f t="shared" ref="C27:C28" si="10">A27</f>
        <v>KLS7-TS3601</v>
      </c>
      <c r="D27" t="str">
        <f>CONCATENATE("Schematic\",E27,".SchLib")</f>
        <v>Schematic\Tact_button.SchLib</v>
      </c>
      <c r="E27" t="s">
        <v>54</v>
      </c>
      <c r="F27" t="str">
        <f>CONCATENATE("Footprints\Buttons\",G27,".PcbLib")</f>
        <v>Footprints\Buttons\KLS7-TS3601.PcbLib</v>
      </c>
      <c r="G27" t="s">
        <v>1728</v>
      </c>
      <c r="J27" t="str">
        <f t="shared" ref="J27:J28" si="11">CONCATENATE("Footprints\",K27,".PcbLib")</f>
        <v>Footprints\.PcbLib</v>
      </c>
      <c r="L27" s="2" t="str">
        <f t="shared" ref="L27:L28" si="12">CONCATENATE("Footprints\",M27,".PcbLib")</f>
        <v>Footprints\.PcbLib</v>
      </c>
      <c r="O27" t="s">
        <v>1729</v>
      </c>
      <c r="P27" t="s">
        <v>1714</v>
      </c>
    </row>
    <row r="28" spans="1:16" x14ac:dyDescent="0.25">
      <c r="A28" t="s">
        <v>1730</v>
      </c>
      <c r="B28" t="s">
        <v>1731</v>
      </c>
      <c r="C28" t="str">
        <f t="shared" si="10"/>
        <v>L-KLS5-CR2032-03</v>
      </c>
      <c r="D28" t="s">
        <v>1012</v>
      </c>
      <c r="E28" t="s">
        <v>1013</v>
      </c>
      <c r="F28" t="str">
        <f t="shared" ref="F28" si="13">CONCATENATE("Footprints\",G28,".PcbLib")</f>
        <v>Footprints\L-KLS5-CR2032-03.PcbLib</v>
      </c>
      <c r="G28" t="s">
        <v>1730</v>
      </c>
      <c r="J28" t="str">
        <f t="shared" si="11"/>
        <v>Footprints\.PcbLib</v>
      </c>
      <c r="L28" s="2" t="str">
        <f t="shared" si="12"/>
        <v>Footprints\.PcbLib</v>
      </c>
      <c r="O28" t="s">
        <v>1732</v>
      </c>
      <c r="P28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N72"/>
  <sheetViews>
    <sheetView tabSelected="1" topLeftCell="A26" zoomScale="70" zoomScaleNormal="70" workbookViewId="0">
      <selection activeCell="J74" sqref="J74"/>
    </sheetView>
  </sheetViews>
  <sheetFormatPr defaultRowHeight="15" x14ac:dyDescent="0.25"/>
  <cols>
    <col min="1" max="1" width="14.7109375" customWidth="1"/>
    <col min="2" max="2" width="40.42578125" customWidth="1"/>
    <col min="3" max="3" width="13.28515625" customWidth="1"/>
    <col min="4" max="4" width="45.7109375" customWidth="1"/>
    <col min="5" max="5" width="17.28515625" customWidth="1"/>
    <col min="6" max="6" width="51" customWidth="1"/>
    <col min="7" max="7" width="16.7109375" customWidth="1"/>
    <col min="8" max="8" width="44.42578125" customWidth="1"/>
    <col min="9" max="9" width="23.7109375" customWidth="1"/>
    <col min="10" max="10" width="28.7109375" customWidth="1"/>
    <col min="11" max="11" width="11.7109375" customWidth="1"/>
  </cols>
  <sheetData>
    <row r="1" spans="1:14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  <c r="M1" s="1" t="s">
        <v>1768</v>
      </c>
      <c r="N1" s="1" t="s">
        <v>1769</v>
      </c>
    </row>
    <row r="2" spans="1:14" x14ac:dyDescent="0.2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4" x14ac:dyDescent="0.2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4" x14ac:dyDescent="0.25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4" x14ac:dyDescent="0.2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4" x14ac:dyDescent="0.2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4" x14ac:dyDescent="0.25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4" x14ac:dyDescent="0.2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4" x14ac:dyDescent="0.25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4" x14ac:dyDescent="0.2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4" x14ac:dyDescent="0.2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4" x14ac:dyDescent="0.2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4" x14ac:dyDescent="0.25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4" x14ac:dyDescent="0.25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4" x14ac:dyDescent="0.25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4" x14ac:dyDescent="0.25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25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25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25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25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25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25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25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25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25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25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25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25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25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25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25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25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2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2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2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2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2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2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2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25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2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2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2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2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2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2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2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2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25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2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2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2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2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2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25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25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2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2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25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25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25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25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25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25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25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25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25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25">
      <c r="A68" t="s">
        <v>1733</v>
      </c>
      <c r="B68" t="s">
        <v>1734</v>
      </c>
      <c r="C68" s="2" t="str">
        <f t="shared" ref="C68" si="13">A68</f>
        <v>Mini-USB-B5F</v>
      </c>
      <c r="D68" t="str">
        <f t="shared" si="11"/>
        <v>Schematic\Connectors\Mini-USB-B5F.SchLib</v>
      </c>
      <c r="E68" s="2" t="str">
        <f t="shared" ref="E68" si="14">C68</f>
        <v>Mini-USB-B5F</v>
      </c>
      <c r="F68" t="str">
        <f t="shared" si="12"/>
        <v>Footprints\Connectors\KLS1-229-5FA.PcbLib</v>
      </c>
      <c r="G68" t="s">
        <v>1735</v>
      </c>
      <c r="J68" t="s">
        <v>1736</v>
      </c>
      <c r="K68" s="41" t="s">
        <v>978</v>
      </c>
      <c r="L68" t="s">
        <v>1714</v>
      </c>
    </row>
    <row r="69" spans="1:12" x14ac:dyDescent="0.25">
      <c r="A69" t="s">
        <v>1737</v>
      </c>
      <c r="B69" t="s">
        <v>1738</v>
      </c>
      <c r="C69" t="s">
        <v>1737</v>
      </c>
      <c r="D69" t="str">
        <f t="shared" si="11"/>
        <v>Schematic\Connectors\Conn_64pin.SchLib</v>
      </c>
      <c r="E69" t="s">
        <v>1741</v>
      </c>
      <c r="F69" t="str">
        <f t="shared" si="12"/>
        <v>Footprints\Connectors\AMPHENOL_10018783-11111TLF.PcbLib</v>
      </c>
      <c r="G69" t="s">
        <v>1740</v>
      </c>
      <c r="J69" t="s">
        <v>1739</v>
      </c>
      <c r="K69" t="s">
        <v>1425</v>
      </c>
      <c r="L69" t="s">
        <v>1425</v>
      </c>
    </row>
    <row r="70" spans="1:12" x14ac:dyDescent="0.25">
      <c r="A70" s="60" t="s">
        <v>1758</v>
      </c>
      <c r="B70" t="s">
        <v>1759</v>
      </c>
      <c r="C70" s="2" t="str">
        <f>A70</f>
        <v>Picoblade_532610371</v>
      </c>
      <c r="D70" s="61" t="str">
        <f>CONCATENATE("Schematic\Connectors\",A70,".SchLib")</f>
        <v>Schematic\Connectors\Picoblade_532610371.SchLib</v>
      </c>
      <c r="E70" s="60" t="s">
        <v>1760</v>
      </c>
      <c r="F70" s="61" t="str">
        <f>CONCATENATE("Footprints\Connectors\",G70,".PcbLib")</f>
        <v>Footprints\Connectors\CONN_532610001-SD_03_MOL.PcbLib</v>
      </c>
      <c r="G70" t="s">
        <v>1761</v>
      </c>
      <c r="J70" t="s">
        <v>1762</v>
      </c>
      <c r="K70" s="40" t="s">
        <v>978</v>
      </c>
      <c r="L70" t="s">
        <v>1750</v>
      </c>
    </row>
    <row r="71" spans="1:12" x14ac:dyDescent="0.25">
      <c r="A71" t="s">
        <v>1763</v>
      </c>
      <c r="B71" t="s">
        <v>1764</v>
      </c>
      <c r="C71" s="2" t="s">
        <v>1763</v>
      </c>
      <c r="D71" s="61" t="str">
        <f>CONCATENATE("Schematic\Connectors\", A71, ".SchLib")</f>
        <v>Schematic\Connectors\PicoBlade_53398-0471.SchLib</v>
      </c>
      <c r="E71" t="s">
        <v>1765</v>
      </c>
      <c r="F71" s="61" t="str">
        <f>CONCATENATE("Footprints\Connectors\",G71,".PcbLib")</f>
        <v>Footprints\Connectors\53398-0471.PcbLib</v>
      </c>
      <c r="G71" t="s">
        <v>1766</v>
      </c>
      <c r="J71" s="38" t="s">
        <v>1767</v>
      </c>
      <c r="K71" s="40" t="s">
        <v>978</v>
      </c>
      <c r="L71" t="s">
        <v>1750</v>
      </c>
    </row>
    <row r="72" spans="1:12" x14ac:dyDescent="0.25">
      <c r="A72" t="s">
        <v>1770</v>
      </c>
      <c r="B72" t="s">
        <v>1771</v>
      </c>
      <c r="C72" s="2" t="s">
        <v>1770</v>
      </c>
      <c r="D72" s="61" t="s">
        <v>1772</v>
      </c>
      <c r="E72" t="s">
        <v>1770</v>
      </c>
      <c r="F72" s="61" t="s">
        <v>1773</v>
      </c>
      <c r="G72" t="s">
        <v>937</v>
      </c>
      <c r="J72" t="s">
        <v>1563</v>
      </c>
      <c r="K72" s="40" t="s">
        <v>978</v>
      </c>
      <c r="L72" t="s">
        <v>1425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2026-10-25T23:25:01Z</dcterms:modified>
</cp:coreProperties>
</file>
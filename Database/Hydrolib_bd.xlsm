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82680DD9-3F13-7979-5B5F-3D2375947C00}"/>
  <workbookPr filterPrivacy="1" codeName="ЭтаКнига"/>
  <xr:revisionPtr revIDLastSave="0" documentId="13_ncr:1_{F345CEBC-412C-4F7D-BE77-867EE5E77F6B}" xr6:coauthVersionLast="47" xr6:coauthVersionMax="47" xr10:uidLastSave="{00000000-0000-0000-0000-000000000000}"/>
  <bookViews>
    <workbookView xWindow="-120" yWindow="-120" windowWidth="29040" windowHeight="1572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4" i="1" l="1"/>
  <c r="D74" i="1"/>
  <c r="F74" i="1"/>
  <c r="F71" i="6"/>
  <c r="D71" i="6"/>
  <c r="F70" i="6"/>
  <c r="D70" i="6"/>
  <c r="C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<sst xmlns="http://schemas.openxmlformats.org/spreadsheetml/2006/main" count="4243" uniqueCount="1774">
  <si>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</si>
  <si>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</si>
  <si>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</si>
  <si>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</si>
  <si>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</si>
  <si>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</si>
  <si>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</si>
  <si>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</si>
  <si>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</si>
  <si>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</si>
  <si>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</si>
  <si>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</si>
  <si>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</si>
  <si>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</si>
  <si>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</si>
  <si>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</si>
  <si>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</si>
  <si>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</si>
  <si>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</si>
  <si>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</si>
  <si>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</si>
  <si>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</si>
  <si>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</si>
  <si>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</si>
  <si>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</si>
  <si>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</si>
  <si>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</si>
  <si>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</si>
  <si>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</si>
  <si>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</si>
  <si>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</si>
  <si>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</si>
  <si>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</si>
  <si>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</si>
  <si>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</si>
  <si>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</si>
  <si>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</si>
  <si>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</si>
  <si>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</si>
  <si>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</si>
  <si>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</si>
  <si>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</si>
  <si>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</si>
  <si>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</si>
  <si>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</si>
  <si>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</si>
  <si>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</si>
  <si>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</si>
  <si>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</si>
  <si>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</si>
  <si>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</si>
  <si>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</si>
  <si>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</si>
  <si>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</si>
  <si>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</si>
  <si>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</si>
  <si>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</si>
  <si>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</si>
  <si>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</si>
  <si>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</si>
  <si>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</si>
  <si>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</si>
  <si>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</si>
  <si>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</si>
  <si>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</si>
  <si>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</si>
  <si>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</si>
  <si>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</si>
  <si>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</si>
  <si>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</si>
  <si>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</si>
  <si>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</si>
  <si>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</si>
  <si>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</si>
  <si>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</si>
  <si>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</si>
  <si>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</si>
  <si>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</si>
  <si>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</si>
  <si>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</si>
  <si>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</si>
  <si>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</si>
  <si>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</si>
  <si>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</si>
  <si>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</si>
  <si>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</si>
  <si>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</si>
  <si>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</si>
  <si>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</si>
  <si>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</si>
  <si>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</si>
  <si>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</si>
  <si>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</si>
  <si>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</si>
  <si>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</si>
  <si>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</si>
  <si>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</si>
  <si>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</si>
  <si>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</si>
  <si>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</si>
  <si>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</si>
  <si>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</si>
  <si>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</si>
  <si>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</si>
  <si>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</si>
  <si>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</si>
  <si>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</si>
  <si>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</si>
  <si>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</si>
  <si>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</si>
  <si>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</si>
  <si>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</si>
  <si>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</si>
  <si>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</si>
  <si>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</si>
  <si>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</si>
  <si>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</si>
  <si>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</si>
  <si>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</si>
  <si>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</si>
  <si>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</si>
  <si>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</si>
  <si>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</si>
  <si>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</si>
  <si>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</si>
  <si>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</si>
  <si>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</si>
  <si>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</si>
  <si>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</si>
  <si>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</si>
  <si>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</si>
  <si>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</si>
  <si>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</si>
  <si>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</si>
  <si>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</si>
  <si>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</si>
  <si>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</si>
  <si>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</si>
  <si>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</si>
  <si>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</si>
  <si>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</si>
  <si>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</si>
  <si>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</si>
  <si>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</si>
  <si>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</si>
  <si>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</si>
  <si>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</si>
  <si>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</si>
  <si>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</si>
  <si>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</si>
  <si>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</si>
  <si>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</si>
  <si>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</si>
  <si>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</si>
  <si>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</si>
  <si>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</si>
  <si>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</si>
  <si>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</si>
  <si>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</si>
  <si>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</si>
  <si>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</si>
  <si>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</si>
  <si>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</si>
  <si>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</si>
  <si>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</si>
  <si>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</si>
  <si>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</si>
  <si>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</si>
  <si>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</si>
  <si>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</si>
  <si>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</si>
  <si>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</si>
  <si>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</si>
  <si>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</si>
  <si>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</si>
  <si>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</si>
  <si>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</si>
  <si>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</si>
  <si>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</si>
  <si>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</si>
  <si>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</si>
  <si>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</si>
  <si>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</si>
  <si>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</si>
  <si>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</si>
  <si>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</si>
  <si>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</si>
  <si>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</si>
  <si>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</si>
  <si>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</si>
  <si>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</si>
  <si>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</si>
  <si>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</si>
  <si>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</si>
  <si>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</si>
  <si>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</si>
  <si>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</si>
  <si>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</si>
  <si>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</si>
  <si>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</si>
  <si>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</si>
  <si>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</si>
  <si>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</si>
  <si>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</si>
  <si>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</si>
  <si>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</si>
  <si>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</si>
  <si>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</si>
  <si>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</si>
  <si>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</si>
  <si>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</si>
  <si>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</si>
  <si>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</si>
  <si>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</si>
  <si>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</si>
  <si>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</si>
  <si>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</si>
  <si>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</si>
  <si>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</si>
  <si>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</si>
  <si>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</si>
  <si>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</si>
  <si>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</si>
  <si>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</si>
  <si>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</si>
  <si>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</si>
  <si>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</si>
  <si>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</si>
  <si>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</si>
  <si>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</si>
  <si>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</si>
  <si>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</si>
  <si>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</si>
  <si>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</si>
  <si>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</si>
  <si>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</si>
  <si>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</si>
  <si>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</si>
  <si>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</si>
  <si>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</si>
  <si>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</si>
  <si>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</si>
  <si>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</si>
  <si>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</si>
  <si>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</si>
  <si>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</si>
  <si>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</si>
  <si>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</si>
  <si>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</si>
  <si>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</si>
  <si>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</si>
  <si>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</si>
  <si>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</si>
  <si>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</si>
  <si>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</si>
  <si>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</si>
  <si>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</si>
  <si>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</si>
  <si>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</si>
  <si>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</si>
  <si>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</si>
  <si>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</si>
  <si>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</si>
  <si>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</si>
  <si>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</si>
  <si>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</si>
  <si>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</si>
  <si>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</si>
  <si>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</si>
  <si>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</si>
  <si>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</si>
  <si>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</si>
  <si>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</si>
  <si>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</si>
  <si>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</si>
  <si>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</si>
  <si>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</si>
  <si>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</si>
  <si>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</si>
  <si>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</si>
  <si>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</si>
  <si>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</si>
  <si>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</si>
  <si>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</si>
  <si>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</si>
  <si>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</si>
  <si>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</si>
  <si>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</si>
  <si>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</si>
  <si>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</si>
  <si>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</si>
  <si>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</si>
  <si>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</si>
  <si>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</si>
  <si>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</si>
  <si>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</si>
  <si>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</si>
  <si>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</si>
  <si>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</si>
  <si>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</si>
  <si>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</si>
  <si>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</si>
  <si>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</si>
  <si>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</si>
  <si>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</si>
  <si>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</si>
  <si>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</si>
  <si>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</si>
  <si>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</si>
  <si>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</si>
  <si>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</si>
  <si>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</si>
  <si>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</si>
  <si>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</si>
  <si>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</si>
  <si>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</si>
  <si>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</si>
  <si>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</si>
  <si>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</si>
  <si>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</si>
  <si>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</si>
  <si>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</si>
  <si>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</si>
  <si>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</si>
  <si>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</si>
  <si>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</si>
  <si>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</si>
  <si>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</si>
  <si>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</si>
  <si>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</si>
  <si>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</si>
  <si>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</si>
  <si>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</si>
  <si>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</si>
  <si>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</si>
  <si>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</si>
  <si>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</si>
  <si>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</si>
  <si>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</si>
  <si>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</si>
  <si>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</si>
  <si>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</si>
  <si>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</si>
  <si>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</si>
  <si>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</si>
  <si>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</si>
  <si>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</si>
  <si>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</si>
  <si>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</si>
  <si>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</si>
  <si>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</si>
  <si>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</si>
  <si>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</si>
  <si>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</si>
  <si>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</si>
  <si>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</si>
  <si>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</si>
  <si>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</si>
  <si>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</si>
  <si>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</si>
  <si>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</si>
  <si>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</si>
  <si>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</si>
  <si>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</si>
  <si>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</si>
  <si>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</si>
  <si>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</si>
  <si>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</si>
  <si>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</si>
  <si>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</si>
  <si>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</si>
  <si>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</si>
  <si>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</si>
  <si>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</si>
  <si>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</si>
  <si>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</si>
  <si>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</si>
  <si>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</si>
  <si>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</si>
  <si>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</si>
  <si>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</si>
  <si>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</si>
  <si>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</si>
  <si>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</si>
  <si>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</si>
  <si>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</si>
  <si>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</si>
  <si>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</si>
  <si>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</si>
  <si>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</si>
  <si>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</si>
  <si>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</si>
  <si>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</si>
  <si>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</si>
  <si>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</si>
  <si>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</si>
  <si>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</si>
  <si>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</si>
  <si>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</si>
  <si>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</si>
  <si>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</si>
  <si>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</si>
  <si>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</si>
  <si>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</si>
  <si>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</si>
  <si>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</si>
  <si>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</si>
  <si>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</si>
  <si>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</si>
  <si>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</si>
  <si>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</si>
  <si>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</si>
  <si>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</si>
  <si>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</si>
  <si>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</si>
  <si>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</si>
  <si>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</si>
  <si>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</si>
  <si>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</si>
  <si>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</si>
  <si>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</si>
  <si>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</si>
  <si>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</si>
  <si>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</si>
  <si>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</si>
  <si>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</si>
  <si>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</si>
  <si>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</si>
  <si>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</si>
  <si>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</si>
  <si>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</si>
  <si>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</si>
  <si>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</si>
  <si>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</si>
  <si>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</si>
  <si>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</si>
  <si>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</si>
  <si>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</si>
  <si>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</si>
  <si>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</si>
  <si>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</si>
  <si>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</si>
  <si>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</si>
  <si>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</si>
  <si>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</si>
  <si>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</si>
  <si>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</si>
  <si>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</si>
  <si>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</si>
  <si>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</si>
  <si>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</si>
  <si>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</si>
  <si>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</si>
  <si>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</si>
  <si>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</si>
  <si>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</si>
  <si>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</si>
  <si>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</si>
  <si>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</si>
  <si>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</si>
  <si>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</si>
  <si>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</si>
  <si>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</si>
  <si>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</si>
  <si>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</si>
  <si>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</si>
  <si>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</si>
  <si>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</si>
  <si>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</si>
  <si>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</si>
  <si>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</si>
  <si>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</si>
  <si>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</si>
  <si>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</si>
  <si>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</si>
  <si>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</si>
  <si>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</si>
  <si>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</si>
  <si>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</si>
  <si>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</si>
  <si>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</si>
  <si>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</si>
  <si>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</si>
  <si>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</si>
  <si>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</si>
  <si>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</si>
  <si>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</si>
  <si>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</si>
  <si>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</si>
  <si>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</si>
  <si>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</si>
  <si>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</si>
  <si>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</si>
  <si>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</si>
  <si>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</si>
  <si>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</si>
  <si>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</si>
  <si>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</si>
  <si>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</si>
  <si>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</si>
  <si>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</si>
  <si>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</si>
  <si>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</si>
  <si>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</si>
  <si>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</si>
  <si>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</si>
  <si>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</si>
  <si>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</si>
  <si>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</si>
  <si>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</si>
  <si>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</si>
  <si>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</si>
  <si>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</si>
  <si>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</si>
  <si>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</si>
  <si>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</si>
  <si>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</si>
  <si>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</si>
  <si>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</si>
  <si>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</si>
  <si>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</si>
  <si>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</si>
  <si>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</si>
  <si>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</si>
  <si>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</si>
  <si>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</si>
  <si>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</si>
  <si>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</si>
  <si>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</si>
  <si>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</si>
  <si>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</si>
  <si>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</si>
  <si>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</si>
  <si>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</si>
  <si>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</si>
  <si>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</si>
  <si>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</si>
  <si>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</si>
  <si>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</si>
  <si>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</si>
  <si>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</si>
  <si>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</si>
  <si>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</si>
  <si>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</si>
  <si>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</si>
  <si>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</si>
  <si>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</si>
  <si>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</si>
  <si>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</si>
  <si>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</si>
  <si>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</si>
  <si>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</si>
  <si>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</si>
  <si>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</si>
  <si>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</si>
  <si>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</si>
  <si>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</si>
  <si>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</si>
  <si>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</si>
  <si>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</si>
  <si>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</si>
  <si>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</si>
  <si>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</si>
  <si>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</si>
  <si>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</si>
  <si>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</si>
  <si>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</si>
  <si>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</si>
  <si>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</si>
  <si>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</si>
  <si>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</si>
  <si>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</si>
  <si>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</si>
  <si>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</si>
  <si>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</si>
  <si>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</si>
  <si>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</si>
  <si>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</si>
  <si>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</si>
  <si>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</si>
  <si>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</si>
  <si>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</si>
  <si>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</si>
  <si>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</si>
  <si>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</si>
  <si>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</si>
  <si>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</si>
  <si>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</si>
  <si>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</si>
  <si>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</si>
  <si>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</si>
  <si>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</si>
  <si>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</si>
  <si>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</si>
  <si>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</si>
  <si>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</si>
  <si>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</si>
  <si>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</si>
  <si>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</si>
  <si>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</si>
  <si>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</si>
  <si>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</si>
  <si>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</si>
  <si>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</si>
  <si>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</si>
  <si>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</si>
  <si>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</si>
  <si>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</si>
  <si>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</si>
  <si>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</si>
  <si>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</si>
  <si>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</si>
  <si>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</si>
  <si>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</si>
  <si>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</si>
  <si>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</si>
  <si>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</si>
  <si>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</si>
  <si>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</si>
  <si>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</si>
  <si>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</si>
  <si>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</si>
  <si>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</si>
  <si>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</si>
  <si>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</si>
  <si>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</si>
  <si>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</si>
  <si>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</si>
  <si>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</si>
  <si>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</si>
  <si>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</si>
  <si>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</si>
  <si>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</si>
  <si>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</si>
  <si>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</si>
  <si>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</si>
  <si>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</si>
  <si>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</si>
  <si>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</si>
  <si>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</si>
  <si>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</si>
  <si>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</si>
  <si>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</si>
  <si>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</si>
  <si>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</si>
  <si>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</si>
  <si>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</si>
  <si>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</si>
  <si>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</si>
  <si>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</si>
  <si>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</si>
  <si>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</si>
  <si>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</si>
  <si>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</si>
  <si>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</si>
  <si>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</si>
  <si>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</si>
  <si>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</si>
  <si>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</si>
  <si>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</si>
  <si>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</si>
  <si>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</si>
  <si>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</si>
  <si>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</si>
  <si>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</si>
  <si>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</si>
  <si>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</si>
  <si>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</si>
  <si>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</si>
  <si>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</si>
  <si>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</si>
  <si>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</si>
  <si>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</si>
  <si>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</si>
  <si>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</si>
  <si>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</si>
  <si>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</si>
  <si>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</si>
  <si>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</si>
  <si>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</si>
  <si>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</si>
  <si>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</si>
  <si>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</si>
  <si>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</si>
  <si>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</si>
  <si>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</si>
  <si>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</si>
  <si>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</si>
  <si>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</si>
  <si>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</si>
  <si>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</si>
  <si>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</si>
  <si>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</si>
  <si>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</si>
  <si>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</si>
  <si>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</si>
  <si>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</si>
  <si>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</si>
  <si>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</si>
  <si>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</si>
  <si>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</si>
  <si>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</si>
  <si>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</si>
  <si>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</si>
  <si>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</si>
  <si>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</si>
  <si>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</si>
  <si>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</si>
  <si>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</si>
  <si>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</si>
  <si>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</si>
  <si>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</si>
  <si>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</si>
  <si>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</si>
  <si>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</si>
  <si>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</si>
  <si>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</si>
  <si>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</si>
  <si>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</si>
  <si>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</si>
  <si>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</si>
  <si>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</si>
  <si>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</si>
  <si>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</si>
  <si>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</si>
  <si>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</si>
  <si>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</si>
  <si>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</si>
  <si>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</si>
  <si>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</si>
  <si>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</si>
  <si>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</si>
  <si>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</si>
  <si>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</si>
  <si>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</si>
  <si>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</si>
  <si>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</si>
  <si>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</si>
  <si>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</si>
  <si>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</si>
  <si>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</si>
  <si>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</si>
  <si>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</si>
  <si>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</si>
  <si>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</si>
  <si>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</si>
  <si>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</si>
  <si>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</si>
  <si>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</si>
  <si>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</si>
  <si>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</si>
  <si>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</si>
  <si>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</si>
  <si>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</si>
  <si>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</si>
  <si>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</si>
  <si>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</si>
  <si>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</si>
  <si>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</si>
  <si>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</si>
  <si>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</si>
  <si>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</si>
  <si>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</si>
  <si>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</si>
  <si>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</si>
  <si>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</si>
  <si>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</si>
  <si>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</si>
  <si>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</si>
  <si>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</si>
  <si>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</si>
  <si>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</si>
  <si>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</si>
  <si>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</si>
  <si>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</si>
  <si>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</si>
  <si>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</si>
  <si>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</si>
  <si>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</si>
  <si>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</si>
  <si>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</si>
  <si>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</si>
  <si>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</si>
  <si>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</si>
  <si>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</si>
  <si>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</si>
  <si>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</si>
  <si>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</si>
  <si>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</si>
  <si>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</si>
  <si>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</si>
  <si>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</si>
  <si>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</si>
  <si>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</si>
  <si>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</si>
  <si>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</si>
  <si>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</si>
  <si>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</si>
  <si>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</si>
  <si>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</si>
  <si>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</si>
  <si>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</si>
  <si>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</si>
  <si>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</si>
  <si>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</si>
  <si>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</si>
  <si>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</si>
  <si>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</si>
  <si>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</si>
  <si>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</si>
  <si>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</si>
  <si>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</si>
  <si>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</si>
  <si>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</si>
  <si>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</si>
  <si>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</si>
  <si>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</si>
  <si>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</si>
  <si>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</si>
  <si>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</si>
  <si>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</si>
  <si>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</si>
  <si>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</si>
  <si>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</si>
  <si>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</si>
  <si>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</si>
  <si>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</si>
  <si>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</si>
  <si>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</si>
  <si>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</si>
  <si>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</si>
  <si>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</si>
  <si>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</si>
  <si>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</si>
  <si>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</si>
  <si>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</si>
  <si>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</si>
  <si>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</si>
  <si>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</si>
  <si>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</si>
  <si>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</si>
  <si>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</si>
  <si>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</si>
  <si>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</si>
  <si>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</si>
  <si>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</si>
  <si>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</si>
  <si>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</si>
  <si>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</si>
  <si>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</si>
  <si>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</si>
  <si>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</si>
  <si>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</si>
  <si>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</si>
  <si>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</si>
  <si>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</si>
  <si>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</si>
  <si>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</si>
  <si>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</si>
  <si>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</si>
  <si>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</si>
  <si>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</si>
  <si>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</si>
  <si>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</si>
  <si>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</si>
  <si>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</si>
  <si>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</si>
  <si>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</si>
  <si>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</si>
  <si>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</si>
  <si>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</si>
  <si>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</si>
  <si>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</si>
  <si>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</si>
  <si>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</si>
  <si>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</si>
  <si>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</si>
  <si>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</si>
  <si>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</si>
  <si>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</si>
  <si>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</si>
  <si>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</si>
  <si>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</si>
  <si>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</si>
  <si>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</si>
  <si>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</si>
  <si>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</si>
  <si>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</si>
  <si>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</si>
  <si>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</si>
  <si>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</si>
  <si>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</si>
  <si>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</si>
  <si>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</si>
  <si>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</si>
  <si>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</si>
  <si>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</si>
  <si>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</si>
  <si>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</si>
  <si>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</si>
  <si>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</si>
  <si>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</si>
  <si>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</si>
  <si>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</si>
  <si>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</si>
  <si>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</si>
  <si>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</si>
  <si>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</si>
  <si>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</si>
  <si>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</si>
  <si>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</si>
  <si>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</si>
  <si>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</si>
  <si>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</si>
  <si>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</si>
  <si>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</si>
  <si>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</si>
  <si>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</si>
  <si>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</si>
  <si>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</si>
  <si>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</si>
  <si>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</si>
  <si>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</si>
  <si>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</si>
  <si>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</si>
  <si>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</si>
  <si>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</si>
  <si>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</si>
  <si>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</si>
  <si>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</si>
  <si>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</si>
  <si>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</si>
  <si>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</si>
  <si>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</si>
  <si>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</si>
  <si>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</si>
  <si>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</si>
  <si>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</si>
  <si>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</si>
  <si>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</si>
  <si>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</si>
  <si>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</si>
  <si>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</si>
  <si>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</si>
  <si>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</si>
  <si>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</si>
  <si>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</si>
  <si>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</si>
  <si>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</si>
  <si>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</si>
  <si>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</si>
  <si>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</si>
  <si>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</si>
  <si>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</si>
  <si>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</si>
  <si>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</si>
  <si>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</si>
  <si>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</si>
  <si>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</si>
  <si>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</si>
  <si>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</si>
  <si>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</si>
  <si>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</si>
  <si>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</si>
  <si>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</si>
  <si>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</si>
  <si>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</si>
  <si>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</si>
  <si>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</si>
  <si>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</si>
  <si>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</si>
  <si>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</si>
  <si>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</si>
  <si>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</si>
  <si>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</si>
  <si>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</si>
  <si>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</si>
  <si>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</si>
  <si>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</si>
  <si>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</si>
  <si>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</si>
  <si>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</si>
  <si>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</si>
  <si>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</si>
  <si>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</si>
  <si>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</si>
  <si>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</si>
  <si>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</si>
  <si>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</si>
  <si>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</si>
  <si>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</si>
  <si>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</si>
  <si>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</si>
  <si>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</si>
  <si>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</si>
  <si>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</si>
  <si>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</si>
  <si>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</si>
  <si>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</si>
  <si>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</si>
  <si>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</si>
  <si>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</si>
  <si>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</si>
  <si>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</si>
  <si>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</si>
  <si>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</si>
  <si>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</si>
  <si>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</si>
  <si>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</si>
  <si>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</si>
  <si>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</si>
  <si>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</si>
  <si>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</si>
  <si>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</si>
  <si>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</si>
  <si>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</si>
  <si>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</si>
  <si>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</si>
  <si>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</si>
  <si>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</si>
  <si>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</si>
  <si>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</si>
  <si>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</si>
  <si>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</si>
  <si>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</si>
  <si>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</si>
  <si>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</si>
  <si>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</si>
  <si>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</si>
  <si>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</si>
  <si>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</si>
  <si>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</si>
  <si>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</si>
  <si>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</si>
  <si>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</si>
  <si>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</si>
  <si>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</si>
  <si>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</si>
  <si>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</si>
  <si>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</si>
  <si>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</si>
  <si>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</si>
  <si>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</si>
  <si>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</si>
  <si>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</si>
  <si>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</si>
  <si>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</si>
  <si>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</si>
  <si>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</si>
  <si>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</si>
  <si>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</si>
  <si>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</si>
  <si>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</si>
  <si>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</si>
  <si>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</si>
  <si>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</si>
  <si>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</si>
  <si>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</si>
  <si>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</si>
  <si>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</si>
  <si>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</si>
  <si>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</si>
  <si>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</si>
  <si>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</si>
  <si>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</si>
  <si>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</si>
  <si>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</si>
  <si>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</si>
  <si>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</si>
  <si>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</si>
  <si>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</si>
  <si>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</si>
  <si>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</si>
  <si>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</si>
  <si>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</si>
  <si>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</si>
  <si>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</si>
  <si>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</si>
  <si>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</si>
  <si>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</si>
  <si>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</si>
  <si>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</si>
  <si>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</si>
  <si>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</si>
  <si>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</si>
  <si>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</si>
  <si>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</si>
  <si>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</si>
  <si>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</si>
  <si>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</si>
  <si>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</si>
  <si>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</si>
  <si>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</si>
  <si>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</si>
  <si>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</si>
  <si>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</si>
  <si>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</si>
  <si>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</si>
  <si>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</si>
  <si>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</si>
  <si>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</si>
  <si>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</si>
  <si>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</si>
  <si>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</si>
  <si>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</si>
  <si>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</si>
  <si>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</si>
  <si>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</si>
  <si>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</si>
  <si>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</si>
  <si>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</si>
  <si>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</si>
  <si>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</si>
  <si>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</si>
  <si>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</si>
  <si>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</si>
  <si>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</si>
  <si>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</si>
  <si>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</si>
  <si>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</si>
  <si>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</si>
  <si>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</si>
  <si>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</si>
  <si>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</si>
  <si>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</si>
  <si>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</si>
  <si>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</si>
  <si>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</si>
  <si>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</si>
  <si>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</si>
  <si>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</si>
  <si>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</si>
  <si>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</si>
  <si>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</si>
  <si>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</si>
  <si>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</si>
  <si>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</si>
  <si>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</si>
  <si>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</si>
  <si>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</si>
  <si>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</si>
  <si>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</si>
  <si>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</si>
  <si>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</si>
  <si>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</si>
  <si>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</si>
  <si>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</si>
  <si>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</si>
  <si>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</si>
  <si>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</si>
  <si>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</si>
  <si>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</si>
  <si>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</si>
  <si>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</si>
  <si>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</si>
  <si>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</si>
  <si>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</si>
  <si>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</si>
  <si>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</si>
  <si>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</si>
  <si>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</si>
  <si>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</si>
  <si>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</si>
  <si>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</si>
  <si>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</si>
  <si>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</si>
  <si>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</si>
  <si>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</si>
  <si>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</si>
  <si>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</si>
  <si>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</si>
  <si>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</si>
  <si>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</si>
  <si>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</si>
  <si>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</si>
  <si>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</si>
  <si>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</si>
  <si>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</si>
  <si>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</si>
  <si>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</si>
  <si>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</si>
  <si>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</si>
  <si>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</si>
  <si>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</si>
  <si>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</si>
  <si>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</si>
  <si>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</si>
  <si>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</si>
  <si>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</si>
  <si>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</si>
  <si>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</si>
  <si>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</si>
  <si>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</si>
  <si>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</si>
  <si>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</si>
  <si>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</si>
  <si>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</si>
  <si>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</si>
  <si>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</si>
  <si>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</si>
  <si>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</si>
  <si>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</si>
  <si>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</si>
  <si>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</si>
  <si>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</si>
  <si>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</si>
  <si>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</si>
  <si>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</si>
  <si>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</si>
  <si>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</si>
  <si>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</si>
  <si>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</si>
  <si>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</si>
  <si>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</si>
  <si>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</si>
  <si>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</si>
  <si>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</si>
  <si>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</si>
  <si>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</si>
  <si>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</si>
  <si>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</si>
  <si>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</si>
  <si>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</si>
  <si>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</si>
  <si>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</si>
  <si>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</si>
  <si>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</si>
  <si>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</si>
  <si>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</si>
  <si>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</si>
  <si>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</si>
  <si>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</si>
  <si>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</si>
  <si>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</si>
  <si>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</si>
  <si>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</si>
  <si>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</si>
  <si>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</si>
  <si>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</si>
  <si>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</si>
  <si>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</si>
  <si>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</si>
  <si>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</si>
  <si>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</si>
  <si>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</si>
  <si>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</si>
  <si>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</si>
  <si>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</si>
  <si>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</si>
  <si>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</si>
  <si>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</si>
  <si>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</si>
  <si>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</si>
  <si>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</si>
  <si>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</si>
  <si>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</si>
  <si>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</si>
  <si>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</si>
  <si>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</si>
  <si>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</si>
  <si>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</si>
  <si>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</si>
  <si>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</si>
  <si>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</si>
  <si>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</si>
  <si>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</si>
  <si>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</si>
  <si>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</si>
  <si>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</si>
  <si>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</si>
  <si>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</si>
  <si>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</si>
  <si>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</si>
  <si>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</si>
  <si>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</si>
  <si>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</si>
  <si>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</si>
  <si>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</si>
  <si>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</si>
  <si>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</si>
  <si>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</si>
  <si>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</si>
  <si>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</si>
  <si>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</si>
  <si>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</si>
  <si>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</si>
  <si>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</si>
  <si>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</si>
  <si>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</si>
  <si>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</si>
  <si>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</si>
  <si>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</si>
  <si>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</si>
  <si>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</si>
  <si>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</si>
  <si>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</si>
  <si>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</si>
  <si>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</si>
  <si>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</si>
  <si>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</si>
  <si>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</si>
  <si>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</si>
  <si>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</si>
  <si>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</si>
  <si>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</si>
  <si>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</si>
  <si>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</si>
  <si>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</si>
  <si>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</si>
  <si>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</si>
  <si>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</si>
  <si>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</si>
  <si>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</si>
  <si>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</si>
  <si>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</si>
  <si>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</si>
  <si>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</si>
  <si>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</si>
  <si>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</si>
  <si>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</si>
  <si>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</si>
  <si>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</si>
  <si>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</si>
  <si>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</si>
  <si>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</si>
  <si>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</si>
  <si>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</si>
  <si>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</si>
  <si>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</si>
  <si>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</si>
  <si>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</si>
  <si>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</si>
  <si>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</si>
  <si>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</si>
  <si>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</si>
  <si>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</si>
  <si>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</si>
  <si>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</si>
  <si>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</si>
  <si>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</si>
  <si>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</si>
  <si>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</si>
  <si>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</si>
  <si>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</si>
  <si>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</si>
  <si>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</si>
  <si>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</si>
  <si>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</si>
  <si>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</si>
  <si>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</si>
  <si>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</si>
  <si>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</si>
  <si>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</si>
  <si>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</si>
  <si>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</si>
  <si>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</si>
  <si>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</si>
  <si>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</si>
  <si>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</si>
  <si>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</si>
  <si>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</si>
  <si>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</si>
  <si>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</si>
  <si>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</si>
  <si>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</si>
  <si>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</si>
  <si>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</si>
  <si>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</si>
  <si>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</si>
  <si>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</si>
  <si>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</si>
  <si>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</si>
  <si>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</si>
  <si>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</si>
  <si>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</si>
  <si>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</si>
  <si>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</si>
  <si>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</si>
  <si>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</si>
  <si>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</si>
  <si>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</si>
  <si>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</si>
  <si>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</si>
  <si>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</si>
  <si>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</si>
  <si>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</si>
  <si>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</si>
  <si>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</si>
  <si>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</si>
  <si>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</si>
  <si>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</si>
  <si>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</si>
  <si>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</si>
  <si>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</si>
  <si>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</si>
  <si>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</si>
  <si>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</si>
  <si>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</si>
  <si>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</si>
  <si>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</si>
  <si>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</si>
  <si>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</si>
  <si>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</si>
  <si>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</si>
  <si>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</si>
  <si>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</si>
  <si>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</si>
  <si>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</si>
  <si>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</si>
  <si>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</si>
  <si>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</si>
  <si>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</si>
  <si>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</si>
  <si>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</si>
  <si>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</si>
  <si>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</si>
  <si>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</si>
  <si>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</si>
  <si>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</si>
  <si>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</si>
  <si>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</si>
  <si>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</si>
  <si>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</si>
  <si>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</si>
  <si>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</si>
  <si>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</si>
  <si>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</si>
  <si>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</si>
  <si>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</si>
  <si>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</si>
  <si>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</si>
  <si>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</si>
  <si>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</si>
  <si>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</si>
  <si>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</si>
  <si>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</si>
  <si>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</si>
  <si>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</si>
  <si>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</si>
  <si>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</si>
  <si>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</si>
  <si>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</si>
  <si>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</si>
  <si>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</si>
  <si>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</si>
  <si>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</si>
  <si>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</si>
  <si>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</si>
  <si>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</si>
  <si>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</si>
  <si>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</si>
  <si>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</si>
  <si>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</si>
  <si>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</si>
  <si>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</si>
  <si>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</si>
  <si>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</si>
  <si>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</si>
  <si>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</si>
  <si>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</si>
  <si>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</si>
  <si>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</si>
  <si>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</si>
  <si>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</si>
  <si>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</si>
  <si>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</si>
  <si>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</si>
  <si>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</si>
  <si>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</si>
  <si>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</si>
  <si>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</si>
  <si>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</si>
  <si>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</si>
  <si>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</si>
  <si>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</si>
  <si>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</si>
  <si>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</si>
  <si>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</si>
  <si>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</si>
  <si>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</si>
  <si>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</si>
  <si>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</si>
  <si>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</si>
  <si>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</si>
  <si>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</si>
  <si>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</si>
  <si>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</si>
  <si>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</si>
  <si>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</si>
  <si>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</si>
  <si>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</si>
  <si>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</si>
  <si>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</si>
  <si>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</si>
  <si>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</si>
  <si>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</si>
  <si>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</si>
  <si>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</si>
  <si>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</si>
  <si>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</si>
  <si>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</si>
  <si>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</si>
  <si>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</si>
  <si>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</si>
  <si>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</si>
  <si>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</si>
  <si>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</si>
  <si>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</si>
  <si>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</si>
  <si>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</si>
  <si>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</si>
  <si>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</si>
  <si>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</si>
  <si>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</si>
  <si>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</si>
  <si>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</si>
  <si>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</si>
  <si>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</si>
  <si>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</si>
  <si>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</si>
  <si>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</si>
  <si>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</si>
  <si>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</si>
  <si>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</si>
  <si>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</si>
  <si>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</si>
  <si>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</si>
  <si>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</si>
  <si>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</si>
  <si>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</si>
  <si>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</si>
  <si>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</si>
  <si>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</si>
  <si>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</si>
  <si>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</si>
  <si>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</si>
  <si>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</si>
  <si>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</si>
  <si>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</si>
  <si>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</si>
  <si>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</si>
  <si>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</si>
  <si>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</si>
  <si>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</si>
  <si>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</si>
  <si>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</si>
  <si>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</si>
  <si>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</si>
  <si>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</si>
  <si>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</si>
  <si>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</si>
  <si>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</si>
  <si>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</si>
  <si>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</si>
  <si>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</si>
  <si>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</si>
  <si>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</si>
  <si>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</si>
  <si>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</si>
  <si>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</si>
  <si>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</si>
  <si>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</si>
  <si>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</si>
  <si>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</si>
  <si>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</si>
  <si>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</si>
  <si>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</si>
  <si>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</si>
  <si>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</si>
  <si>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</si>
  <si>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</si>
  <si>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</si>
  <si>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</si>
  <si>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</si>
  <si>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</si>
  <si>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</si>
  <si>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</si>
  <si>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</si>
  <si>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</si>
  <si>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</si>
  <si>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</si>
  <si>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</si>
  <si>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</si>
  <si>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</si>
  <si>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</si>
  <si>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</si>
  <si>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</si>
  <si>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</si>
  <si>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</si>
  <si>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</si>
  <si>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</si>
  <si>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</si>
  <si>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</si>
  <si>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</si>
  <si>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</si>
  <si>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</si>
  <si>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</si>
  <si>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</si>
  <si>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</si>
  <si>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</si>
  <si>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</si>
  <si>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</si>
  <si>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</si>
  <si>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</si>
  <si>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</si>
  <si>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</si>
  <si>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</si>
  <si>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</si>
  <si>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</si>
  <si>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</si>
  <si>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</si>
  <si>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</si>
  <si>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</si>
  <si>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</si>
  <si>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</si>
  <si>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</si>
  <si>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</si>
  <si>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</si>
  <si>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</si>
  <si>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</si>
  <si>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</si>
  <si>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</si>
  <si>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</si>
  <si>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</si>
  <si>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</si>
  <si>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</si>
  <si>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</si>
  <si>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</si>
  <si>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</si>
  <si>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</si>
  <si>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</si>
  <si>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</si>
  <si>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</si>
  <si>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</si>
  <si>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</si>
  <si>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</si>
  <si>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</si>
  <si>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</si>
  <si>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</si>
  <si>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</si>
  <si>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</si>
  <si>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</si>
  <si>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</si>
  <si>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</si>
  <si>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</si>
  <si>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</si>
  <si>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</si>
  <si>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</si>
  <si>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</si>
  <si>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</si>
  <si>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</si>
  <si>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</si>
  <si>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</si>
  <si>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</si>
  <si>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</si>
  <si>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</si>
  <si>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</si>
  <si>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</si>
  <si>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</si>
  <si>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</si>
  <si>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</si>
  <si>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</si>
  <si>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</si>
  <si>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</si>
  <si>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</si>
  <si>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</si>
  <si>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</si>
  <si>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</si>
  <si>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</si>
  <si>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</si>
  <si>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</si>
  <si>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</si>
  <si>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</si>
  <si>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</si>
  <si>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</si>
  <si>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</si>
  <si>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</si>
  <si>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</si>
  <si>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</si>
  <si>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</si>
  <si>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</si>
  <si>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</si>
  <si>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</si>
  <si>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</si>
  <si>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</si>
  <si>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</si>
  <si>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</si>
  <si>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</si>
  <si>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</si>
  <si>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</si>
  <si>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</si>
  <si>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</si>
  <si>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</si>
  <si>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</si>
  <si>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</si>
  <si>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</si>
  <si>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</si>
  <si>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</si>
  <si>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</si>
  <si>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</si>
  <si>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</si>
  <si>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</si>
  <si>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</si>
  <si>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</si>
  <si>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</si>
  <si>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</si>
  <si>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</si>
  <si>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</si>
  <si>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</si>
  <si>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</si>
  <si>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</si>
  <si>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</si>
  <si>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</si>
  <si>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</si>
  <si>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</si>
  <si>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</si>
  <si>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</si>
  <si>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</si>
  <si>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</si>
  <si>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</si>
  <si>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</si>
  <si>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</si>
  <si>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</si>
  <si>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</si>
  <si>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</si>
  <si>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</si>
  <si>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</si>
  <si>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</si>
  <si>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</si>
  <si>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</si>
  <si>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</si>
  <si>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</si>
  <si>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</si>
  <si>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</si>
  <si>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</si>
  <si>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</si>
  <si>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</si>
  <si>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</si>
  <si>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</si>
  <si>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</si>
  <si>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</si>
  <si>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</si>
  <si>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</si>
  <si>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</si>
  <si>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</si>
  <si>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</si>
  <si>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</si>
  <si>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</si>
  <si>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</si>
  <si>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</si>
  <si>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</si>
  <si>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</si>
  <si>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</si>
  <si>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</si>
  <si>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</si>
  <si>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</si>
  <si>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</si>
  <si>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</si>
  <si>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</si>
  <si>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</si>
  <si>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</si>
  <si>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</si>
  <si>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</si>
  <si>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</si>
  <si>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</si>
  <si>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</si>
  <si>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</si>
  <si>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</si>
  <si>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</si>
  <si>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</si>
  <si>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AP63203WU-8</t>
  </si>
  <si>
    <t>SOT23-9</t>
  </si>
  <si>
    <t>Vouka07</t>
  </si>
  <si>
    <t>DC-DC Преобразовательntcnjddsq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</si>
</sst>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4" tableType="xml" totalsRowShown="0" headerRowDxfId="146" connectionId="6">
  <autoFilter ref="A1:M7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N71" tableType="xml" totalsRowShown="0" headerRowDxfId="3" connectionId="7">
  <autoFilter ref="A1:N71" xr:uid="{1A41BD32-B698-4872-A86C-4CAC56B9AD83}"/>
  <tableColumns count="14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  <tableColumn id="13" xr3:uid="{24AD4F99-B35A-4243-A80F-480FEDF99238}" uniqueName="13" name="Столбец1"/>
    <tableColumn id="14" xr3:uid="{B2C0751C-B905-4DAF-AEB8-9116B5A08DB5}" uniqueName="14" name="Столбец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4"/>
  <sheetViews>
    <sheetView tabSelected="1" topLeftCell="A44" zoomScale="85" zoomScaleNormal="85" workbookViewId="0">
      <selection activeCell="B74" sqref="B74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s="2">
        <f>A75</f>
        <v>0</v>
      </c>
      <c r="D73" t="str">
        <f>CONCATENATE("Schematic\",A75,".SchLib")</f>
        <v>Schematic\.SchLib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  <row r="74" spans="1:13" x14ac:dyDescent="0.25">
      <c r="A74" t="s">
        <v>1770</v>
      </c>
      <c r="B74" t="s">
        <v>1773</v>
      </c>
      <c r="C74" s="2">
        <f>A76</f>
        <v>0</v>
      </c>
      <c r="D74" t="str">
        <f>CONCATENATE("Schematic\",A76,".SchLib")</f>
        <v>Schematic\.SchLib</v>
      </c>
      <c r="E74" t="s">
        <v>1770</v>
      </c>
      <c r="F74" t="str">
        <f>CONCATENATE("Footprints\",G74,".PcbLib")</f>
        <v>Footprints\SOT23-9.PcbLib</v>
      </c>
      <c r="G74" t="s">
        <v>1771</v>
      </c>
      <c r="L74" s="38" t="s">
        <v>1751</v>
      </c>
      <c r="M74" t="s">
        <v>1772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1"/>
  <sheetViews>
    <sheetView topLeftCell="A46" zoomScale="73" zoomScaleNormal="46" workbookViewId="0">
      <selection activeCell="B72" sqref="B72"/>
    </sheetView>
  </sheetViews>
  <sheetFormatPr defaultRowHeight="15" x14ac:dyDescent="0.25"/>
  <cols>
    <col min="1" max="1" width="14.7109375" customWidth="1"/>
    <col min="2" max="2" width="225.140625" bestFit="1" customWidth="1"/>
    <col min="3" max="3" width="38.42578125" bestFit="1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t="str">
        <f>CONCATENATE("Schematic\Connectors\",A70,".SchLib")</f>
        <v>Schematic\Connectors\Picoblade_532610371.SchLib</v>
      </c>
      <c r="E70" s="60" t="s">
        <v>1760</v>
      </c>
      <c r="F70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t="s">
        <v>1763</v>
      </c>
      <c r="D71" t="str">
        <f>CONCATENATE("Schematic\Connectors\", A71, ".SchLib")</f>
        <v>Schematic\Connectors\PicoBlade_53398-0471.SchLib</v>
      </c>
      <c r="E71" t="s">
        <v>1765</v>
      </c>
      <c r="F7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2026-10-26T20:28:23Z</dcterms:modified>
</cp:coreProperties>
</file>
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82680DD9-3F13-7979-5B5F-3D2375947C00}"/>
  <workbookPr filterPrivacy="1" codeName="ЭтаКнига"/>
  <xr:revisionPtr revIDLastSave="0" documentId="13_ncr:1_{44CFD082-C6F9-4780-875E-83A004D19811}" xr6:coauthVersionLast="47" xr6:coauthVersionMax="47" xr10:uidLastSave="{00000000-0000-0000-0000-000000000000}"/>
  <bookViews>
    <workbookView xWindow="-120" yWindow="-120" windowWidth="29040" windowHeight="15720" tabRatio="89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4" i="1" l="1"/>
  <c r="D74" i="1"/>
  <c r="F74" i="1"/>
  <c r="F71" i="6"/>
  <c r="D71" i="6"/>
  <c r="F70" i="6"/>
  <c r="D70" i="6"/>
  <c r="C70" i="6"/>
  <c r="F73" i="1"/>
  <c r="D73" i="1"/>
  <c r="C73" i="1"/>
  <c r="F72" i="1"/>
  <c r="E72" i="1"/>
  <c r="D72" i="1"/>
  <c r="C72" i="1"/>
  <c r="F71" i="1"/>
  <c r="E71" i="1"/>
  <c r="D71" i="1"/>
  <c r="C71" i="1"/>
  <c r="C70" i="1"/>
  <c r="D70" i="1"/>
  <c r="F70" i="1"/>
  <c r="B15" i="8" l="1"/>
  <c r="C15" i="8"/>
  <c r="D15" i="8"/>
  <c r="F15" i="8"/>
  <c r="J15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4" i="8" l="1"/>
  <c r="F14" i="8"/>
  <c r="D14" i="8"/>
  <c r="C14" i="8"/>
  <c r="B14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<sst xmlns="http://schemas.openxmlformats.org/spreadsheetml/2006/main" count="4243" uniqueCount="1773">
  <si>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</si>
  <si>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</si>
  <si>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</si>
  <si>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</si>
  <si>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</si>
  <si>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</si>
  <si>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</si>
  <si>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</si>
  <si>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</si>
  <si>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</si>
  <si>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</si>
  <si>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</si>
  <si>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</si>
  <si>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</si>
  <si>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</si>
  <si>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</si>
  <si>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</si>
  <si>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</si>
  <si>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</si>
  <si>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</si>
  <si>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</si>
  <si>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</si>
  <si>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</si>
  <si>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</si>
  <si>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</si>
  <si>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</si>
  <si>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</si>
  <si>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</si>
  <si>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</si>
  <si>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</si>
  <si>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</si>
  <si>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</si>
  <si>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</si>
  <si>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</si>
  <si>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</si>
  <si>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</si>
  <si>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</si>
  <si>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</si>
  <si>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</si>
  <si>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</si>
  <si>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</si>
  <si>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</si>
  <si>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</si>
  <si>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</si>
  <si>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</si>
  <si>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</si>
  <si>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</si>
  <si>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</si>
  <si>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</si>
  <si>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</si>
  <si>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</si>
  <si>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</si>
  <si>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</si>
  <si>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</si>
  <si>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</si>
  <si>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</si>
  <si>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</si>
  <si>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</si>
  <si>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</si>
  <si>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</si>
  <si>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</si>
  <si>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</si>
  <si>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</si>
  <si>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</si>
  <si>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</si>
  <si>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</si>
  <si>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</si>
  <si>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</si>
  <si>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</si>
  <si>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</si>
  <si>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</si>
  <si>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</si>
  <si>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</si>
  <si>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</si>
  <si>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</si>
  <si>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</si>
  <si>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</si>
  <si>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</si>
  <si>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</si>
  <si>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</si>
  <si>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</si>
  <si>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</si>
  <si>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</si>
  <si>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</si>
  <si>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</si>
  <si>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</si>
  <si>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</si>
  <si>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</si>
  <si>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</si>
  <si>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</si>
  <si>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</si>
  <si>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</si>
  <si>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</si>
  <si>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</si>
  <si>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</si>
  <si>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</si>
  <si>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</si>
  <si>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</si>
  <si>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</si>
  <si>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</si>
  <si>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</si>
  <si>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</si>
  <si>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</si>
  <si>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</si>
  <si>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</si>
  <si>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</si>
  <si>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</si>
  <si>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</si>
  <si>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</si>
  <si>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</si>
  <si>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</si>
  <si>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</si>
  <si>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</si>
  <si>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</si>
  <si>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</si>
  <si>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</si>
  <si>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</si>
  <si>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</si>
  <si>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</si>
  <si>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</si>
  <si>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</si>
  <si>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</si>
  <si>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</si>
  <si>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</si>
  <si>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</si>
  <si>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</si>
  <si>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</si>
  <si>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</si>
  <si>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</si>
  <si>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</si>
  <si>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</si>
  <si>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</si>
  <si>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</si>
  <si>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</si>
  <si>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</si>
  <si>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</si>
  <si>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</si>
  <si>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</si>
  <si>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</si>
  <si>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</si>
  <si>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</si>
  <si>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</si>
  <si>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</si>
  <si>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</si>
  <si>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</si>
  <si>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</si>
  <si>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</si>
  <si>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</si>
  <si>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</si>
  <si>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</si>
  <si>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</si>
  <si>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</si>
  <si>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</si>
  <si>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</si>
  <si>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</si>
  <si>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</si>
  <si>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</si>
  <si>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</si>
  <si>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</si>
  <si>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</si>
  <si>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</si>
  <si>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</si>
  <si>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</si>
  <si>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</si>
  <si>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</si>
  <si>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</si>
  <si>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</si>
  <si>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</si>
  <si>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</si>
  <si>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</si>
  <si>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</si>
  <si>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</si>
  <si>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</si>
  <si>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</si>
  <si>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</si>
  <si>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</si>
  <si>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</si>
  <si>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</si>
  <si>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</si>
  <si>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</si>
  <si>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</si>
  <si>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</si>
  <si>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</si>
  <si>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</si>
  <si>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</si>
  <si>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</si>
  <si>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</si>
  <si>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</si>
  <si>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</si>
  <si>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</si>
  <si>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</si>
  <si>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</si>
  <si>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</si>
  <si>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</si>
  <si>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</si>
  <si>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</si>
  <si>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</si>
  <si>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</si>
  <si>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</si>
  <si>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</si>
  <si>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</si>
  <si>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</si>
  <si>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</si>
  <si>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</si>
  <si>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</si>
  <si>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</si>
  <si>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</si>
  <si>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</si>
  <si>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</si>
  <si>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</si>
  <si>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</si>
  <si>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</si>
  <si>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</si>
  <si>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</si>
  <si>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</si>
  <si>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</si>
  <si>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</si>
  <si>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</si>
  <si>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</si>
  <si>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</si>
  <si>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</si>
  <si>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</si>
  <si>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</si>
  <si>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</si>
  <si>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</si>
  <si>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</si>
  <si>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</si>
  <si>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</si>
  <si>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</si>
  <si>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</si>
  <si>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</si>
  <si>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</si>
  <si>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</si>
  <si>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</si>
  <si>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</si>
  <si>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</si>
  <si>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</si>
  <si>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</si>
  <si>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</si>
  <si>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</si>
  <si>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</si>
  <si>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</si>
  <si>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</si>
  <si>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</si>
  <si>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</si>
  <si>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</si>
  <si>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</si>
  <si>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</si>
  <si>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</si>
  <si>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</si>
  <si>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</si>
  <si>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</si>
  <si>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</si>
  <si>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</si>
  <si>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</si>
  <si>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</si>
  <si>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</si>
  <si>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</si>
  <si>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</si>
  <si>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</si>
  <si>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</si>
  <si>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</si>
  <si>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</si>
  <si>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</si>
  <si>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</si>
  <si>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</si>
  <si>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</si>
  <si>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</si>
  <si>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</si>
  <si>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</si>
  <si>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</si>
  <si>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</si>
  <si>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</si>
  <si>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</si>
  <si>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</si>
  <si>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</si>
  <si>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</si>
  <si>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</si>
  <si>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</si>
  <si>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</si>
  <si>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</si>
  <si>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</si>
  <si>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</si>
  <si>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</si>
  <si>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</si>
  <si>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</si>
  <si>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</si>
  <si>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</si>
  <si>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</si>
  <si>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</si>
  <si>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</si>
  <si>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</si>
  <si>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</si>
  <si>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</si>
  <si>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</si>
  <si>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</si>
  <si>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</si>
  <si>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</si>
  <si>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</si>
  <si>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</si>
  <si>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</si>
  <si>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</si>
  <si>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</si>
  <si>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</si>
  <si>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</si>
  <si>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</si>
  <si>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</si>
  <si>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</si>
  <si>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</si>
  <si>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</si>
  <si>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</si>
  <si>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</si>
  <si>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</si>
  <si>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</si>
  <si>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</si>
  <si>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</si>
  <si>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</si>
  <si>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</si>
  <si>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</si>
  <si>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</si>
  <si>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</si>
  <si>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</si>
  <si>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</si>
  <si>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</si>
  <si>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</si>
  <si>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</si>
  <si>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</si>
  <si>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</si>
  <si>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</si>
  <si>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</si>
  <si>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</si>
  <si>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</si>
  <si>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</si>
  <si>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</si>
  <si>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</si>
  <si>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</si>
  <si>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</si>
  <si>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</si>
  <si>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</si>
  <si>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</si>
  <si>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</si>
  <si>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</si>
  <si>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</si>
  <si>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</si>
  <si>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</si>
  <si>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</si>
  <si>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</si>
  <si>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</si>
  <si>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</si>
  <si>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</si>
  <si>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</si>
  <si>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</si>
  <si>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</si>
  <si>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</si>
  <si>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</si>
  <si>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</si>
  <si>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</si>
  <si>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</si>
  <si>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</si>
  <si>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</si>
  <si>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</si>
  <si>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</si>
  <si>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</si>
  <si>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</si>
  <si>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</si>
  <si>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</si>
  <si>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</si>
  <si>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</si>
  <si>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</si>
  <si>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</si>
  <si>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</si>
  <si>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</si>
  <si>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</si>
  <si>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</si>
  <si>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</si>
  <si>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</si>
  <si>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</si>
  <si>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</si>
  <si>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</si>
  <si>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</si>
  <si>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</si>
  <si>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</si>
  <si>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</si>
  <si>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</si>
  <si>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</si>
  <si>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</si>
  <si>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</si>
  <si>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</si>
  <si>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</si>
  <si>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</si>
  <si>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</si>
  <si>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</si>
  <si>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</si>
  <si>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</si>
  <si>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</si>
  <si>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</si>
  <si>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</si>
  <si>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</si>
  <si>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</si>
  <si>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</si>
  <si>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</si>
  <si>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</si>
  <si>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</si>
  <si>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</si>
  <si>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</si>
  <si>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</si>
  <si>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</si>
  <si>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</si>
  <si>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</si>
  <si>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</si>
  <si>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</si>
  <si>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</si>
  <si>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</si>
  <si>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</si>
  <si>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</si>
  <si>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</si>
  <si>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</si>
  <si>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</si>
  <si>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</si>
  <si>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</si>
  <si>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</si>
  <si>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</si>
  <si>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</si>
  <si>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</si>
  <si>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</si>
  <si>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</si>
  <si>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</si>
  <si>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</si>
  <si>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</si>
  <si>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</si>
  <si>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</si>
  <si>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</si>
  <si>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</si>
  <si>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</si>
  <si>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</si>
  <si>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</si>
  <si>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</si>
  <si>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</si>
  <si>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</si>
  <si>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</si>
  <si>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</si>
  <si>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</si>
  <si>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</si>
  <si>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</si>
  <si>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</si>
  <si>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</si>
  <si>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</si>
  <si>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</si>
  <si>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</si>
  <si>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</si>
  <si>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</si>
  <si>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</si>
  <si>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</si>
  <si>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</si>
  <si>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</si>
  <si>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</si>
  <si>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</si>
  <si>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</si>
  <si>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</si>
  <si>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</si>
  <si>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</si>
  <si>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</si>
  <si>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</si>
  <si>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</si>
  <si>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</si>
  <si>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</si>
  <si>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</si>
  <si>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</si>
  <si>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</si>
  <si>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</si>
  <si>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</si>
  <si>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</si>
  <si>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</si>
  <si>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</si>
  <si>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</si>
  <si>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</si>
  <si>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</si>
  <si>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</si>
  <si>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</si>
  <si>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</si>
  <si>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</si>
  <si>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</si>
  <si>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</si>
  <si>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</si>
  <si>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</si>
  <si>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</si>
  <si>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</si>
  <si>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</si>
  <si>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</si>
  <si>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</si>
  <si>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</si>
  <si>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</si>
  <si>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</si>
  <si>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</si>
  <si>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</si>
  <si>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</si>
  <si>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</si>
  <si>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</si>
  <si>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</si>
  <si>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</si>
  <si>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</si>
  <si>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</si>
  <si>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</si>
  <si>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</si>
  <si>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</si>
  <si>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</si>
  <si>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</si>
  <si>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</si>
  <si>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</si>
  <si>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</si>
  <si>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</si>
  <si>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</si>
  <si>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</si>
  <si>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</si>
  <si>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</si>
  <si>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</si>
  <si>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</si>
  <si>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</si>
  <si>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</si>
  <si>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</si>
  <si>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</si>
  <si>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</si>
  <si>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</si>
  <si>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</si>
  <si>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</si>
  <si>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</si>
  <si>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</si>
  <si>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</si>
  <si>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</si>
  <si>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</si>
  <si>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</si>
  <si>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</si>
  <si>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</si>
  <si>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</si>
  <si>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</si>
  <si>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</si>
  <si>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</si>
  <si>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</si>
  <si>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</si>
  <si>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</si>
  <si>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</si>
  <si>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</si>
  <si>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</si>
  <si>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</si>
  <si>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</si>
  <si>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</si>
  <si>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</si>
  <si>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</si>
  <si>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</si>
  <si>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</si>
  <si>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</si>
  <si>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</si>
  <si>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</si>
  <si>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</si>
  <si>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</si>
  <si>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</si>
  <si>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</si>
  <si>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</si>
  <si>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</si>
  <si>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</si>
  <si>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</si>
  <si>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</si>
  <si>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</si>
  <si>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</si>
  <si>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</si>
  <si>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</si>
  <si>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</si>
  <si>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</si>
  <si>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</si>
  <si>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</si>
  <si>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</si>
  <si>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</si>
  <si>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</si>
  <si>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</si>
  <si>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</si>
  <si>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</si>
  <si>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</si>
  <si>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</si>
  <si>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</si>
  <si>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</si>
  <si>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</si>
  <si>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</si>
  <si>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</si>
  <si>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</si>
  <si>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</si>
  <si>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</si>
  <si>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</si>
  <si>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</si>
  <si>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</si>
  <si>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</si>
  <si>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</si>
  <si>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</si>
  <si>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</si>
  <si>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</si>
  <si>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</si>
  <si>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</si>
  <si>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</si>
  <si>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</si>
  <si>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</si>
  <si>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</si>
  <si>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</si>
  <si>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</si>
  <si>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</si>
  <si>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</si>
  <si>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</si>
  <si>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</si>
  <si>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</si>
  <si>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</si>
  <si>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</si>
  <si>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</si>
  <si>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</si>
  <si>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</si>
  <si>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</si>
  <si>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</si>
  <si>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</si>
  <si>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</si>
  <si>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</si>
  <si>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</si>
  <si>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</si>
  <si>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</si>
  <si>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</si>
  <si>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</si>
  <si>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</si>
  <si>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</si>
  <si>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</si>
  <si>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</si>
  <si>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</si>
  <si>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</si>
  <si>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</si>
  <si>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</si>
  <si>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</si>
  <si>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</si>
  <si>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</si>
  <si>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</si>
  <si>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</si>
  <si>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</si>
  <si>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</si>
  <si>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</si>
  <si>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</si>
  <si>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</si>
  <si>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</si>
  <si>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</si>
  <si>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</si>
  <si>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</si>
  <si>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</si>
  <si>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</si>
  <si>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</si>
  <si>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</si>
  <si>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</si>
  <si>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</si>
  <si>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</si>
  <si>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</si>
  <si>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</si>
  <si>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</si>
  <si>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</si>
  <si>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</si>
  <si>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</si>
  <si>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</si>
  <si>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</si>
  <si>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</si>
  <si>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</si>
  <si>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</si>
  <si>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</si>
  <si>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</si>
  <si>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</si>
  <si>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</si>
  <si>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</si>
  <si>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</si>
  <si>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</si>
  <si>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</si>
  <si>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</si>
  <si>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</si>
  <si>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</si>
  <si>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</si>
  <si>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</si>
  <si>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</si>
  <si>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</si>
  <si>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</si>
  <si>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</si>
  <si>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</si>
  <si>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</si>
  <si>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</si>
  <si>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</si>
  <si>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</si>
  <si>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</si>
  <si>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</si>
  <si>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</si>
  <si>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</si>
  <si>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</si>
  <si>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</si>
  <si>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</si>
  <si>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</si>
  <si>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</si>
  <si>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</si>
  <si>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</si>
  <si>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</si>
  <si>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</si>
  <si>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</si>
  <si>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</si>
  <si>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</si>
  <si>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</si>
  <si>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</si>
  <si>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</si>
  <si>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</si>
  <si>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</si>
  <si>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</si>
  <si>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</si>
  <si>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</si>
  <si>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</si>
  <si>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</si>
  <si>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</si>
  <si>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</si>
  <si>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</si>
  <si>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</si>
  <si>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</si>
  <si>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</si>
  <si>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</si>
  <si>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</si>
  <si>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</si>
  <si>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</si>
  <si>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</si>
  <si>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</si>
  <si>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</si>
  <si>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</si>
  <si>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</si>
  <si>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</si>
  <si>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</si>
  <si>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</si>
  <si>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</si>
  <si>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</si>
  <si>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</si>
  <si>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</si>
  <si>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</si>
  <si>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</si>
  <si>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</si>
  <si>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</si>
  <si>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</si>
  <si>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</si>
  <si>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</si>
  <si>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</si>
  <si>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</si>
  <si>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</si>
  <si>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</si>
  <si>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</si>
  <si>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</si>
  <si>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</si>
  <si>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</si>
  <si>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</si>
  <si>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</si>
  <si>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</si>
  <si>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</si>
  <si>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</si>
  <si>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</si>
  <si>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</si>
  <si>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</si>
  <si>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</si>
  <si>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</si>
  <si>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</si>
  <si>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</si>
  <si>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</si>
  <si>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</si>
  <si>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</si>
  <si>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</si>
  <si>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</si>
  <si>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</si>
  <si>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</si>
  <si>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</si>
  <si>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</si>
  <si>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</si>
  <si>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</si>
  <si>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</si>
  <si>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</si>
  <si>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</si>
  <si>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</si>
  <si>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</si>
  <si>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</si>
  <si>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</si>
  <si>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</si>
  <si>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</si>
  <si>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</si>
  <si>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</si>
  <si>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</si>
  <si>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</si>
  <si>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</si>
  <si>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</si>
  <si>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</si>
  <si>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</si>
  <si>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</si>
  <si>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</si>
  <si>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</si>
  <si>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</si>
  <si>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</si>
  <si>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</si>
  <si>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</si>
  <si>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</si>
  <si>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</si>
  <si>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</si>
  <si>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</si>
  <si>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</si>
  <si>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</si>
  <si>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</si>
  <si>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</si>
  <si>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</si>
  <si>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</si>
  <si>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</si>
  <si>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</si>
  <si>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</si>
  <si>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</si>
  <si>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</si>
  <si>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</si>
  <si>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</si>
  <si>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</si>
  <si>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</si>
  <si>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</si>
  <si>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</si>
  <si>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</si>
  <si>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</si>
  <si>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</si>
  <si>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</si>
  <si>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</si>
  <si>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</si>
  <si>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</si>
  <si>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</si>
  <si>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</si>
  <si>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</si>
  <si>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</si>
  <si>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</si>
  <si>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</si>
  <si>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</si>
  <si>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</si>
  <si>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</si>
  <si>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</si>
  <si>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</si>
  <si>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</si>
  <si>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</si>
  <si>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</si>
  <si>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</si>
  <si>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</si>
  <si>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</si>
  <si>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</si>
  <si>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</si>
  <si>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</si>
  <si>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</si>
  <si>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</si>
  <si>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</si>
  <si>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</si>
  <si>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</si>
  <si>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</si>
  <si>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</si>
  <si>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</si>
  <si>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</si>
  <si>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</si>
  <si>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</si>
  <si>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</si>
  <si>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</si>
  <si>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</si>
  <si>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</si>
  <si>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</si>
  <si>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</si>
  <si>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</si>
  <si>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</si>
  <si>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</si>
  <si>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</si>
  <si>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</si>
  <si>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</si>
  <si>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</si>
  <si>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</si>
  <si>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</si>
  <si>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</si>
  <si>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</si>
  <si>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</si>
  <si>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</si>
  <si>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</si>
  <si>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</si>
  <si>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</si>
  <si>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</si>
  <si>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</si>
  <si>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</si>
  <si>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</si>
  <si>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</si>
  <si>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</si>
  <si>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</si>
  <si>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</si>
  <si>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</si>
  <si>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</si>
  <si>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</si>
  <si>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</si>
  <si>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</si>
  <si>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</si>
  <si>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</si>
  <si>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</si>
  <si>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</si>
  <si>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</si>
  <si>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</si>
  <si>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</si>
  <si>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</si>
  <si>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</si>
  <si>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</si>
  <si>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</si>
  <si>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</si>
  <si>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</si>
  <si>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</si>
  <si>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</si>
  <si>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</si>
  <si>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</si>
  <si>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</si>
  <si>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</si>
  <si>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</si>
  <si>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</si>
  <si>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</si>
  <si>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</si>
  <si>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</si>
  <si>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</si>
  <si>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</si>
  <si>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</si>
  <si>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</si>
  <si>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</si>
  <si>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</si>
  <si>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</si>
  <si>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</si>
  <si>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</si>
  <si>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</si>
  <si>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</si>
  <si>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</si>
  <si>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</si>
  <si>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</si>
  <si>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</si>
  <si>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</si>
  <si>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</si>
  <si>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</si>
  <si>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</si>
  <si>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</si>
  <si>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</si>
  <si>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</si>
  <si>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</si>
  <si>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</si>
  <si>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</si>
  <si>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</si>
  <si>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</si>
  <si>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</si>
  <si>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</si>
  <si>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</si>
  <si>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</si>
  <si>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</si>
  <si>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</si>
  <si>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</si>
  <si>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</si>
  <si>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</si>
  <si>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</si>
  <si>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</si>
  <si>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</si>
  <si>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</si>
  <si>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</si>
  <si>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</si>
  <si>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</si>
  <si>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</si>
  <si>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</si>
  <si>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</si>
  <si>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</si>
  <si>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</si>
  <si>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</si>
  <si>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</si>
  <si>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</si>
  <si>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</si>
  <si>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</si>
  <si>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</si>
  <si>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</si>
  <si>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</si>
  <si>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</si>
  <si>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</si>
  <si>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</si>
  <si>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</si>
  <si>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</si>
  <si>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</si>
  <si>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</si>
  <si>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</si>
  <si>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</si>
  <si>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</si>
  <si>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</si>
  <si>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</si>
  <si>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</si>
  <si>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</si>
  <si>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</si>
  <si>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</si>
  <si>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</si>
  <si>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</si>
  <si>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</si>
  <si>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</si>
  <si>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</si>
  <si>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</si>
  <si>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</si>
  <si>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</si>
  <si>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</si>
  <si>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</si>
  <si>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</si>
  <si>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</si>
  <si>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</si>
  <si>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</si>
  <si>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</si>
  <si>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</si>
  <si>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</si>
  <si>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</si>
  <si>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</si>
  <si>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</si>
  <si>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</si>
  <si>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</si>
  <si>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</si>
  <si>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</si>
  <si>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</si>
  <si>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</si>
  <si>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</si>
  <si>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</si>
  <si>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</si>
  <si>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</si>
  <si>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</si>
  <si>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</si>
  <si>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</si>
  <si>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</si>
  <si>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</si>
  <si>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</si>
  <si>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</si>
  <si>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</si>
  <si>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</si>
  <si>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</si>
  <si>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</si>
  <si>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</si>
  <si>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</si>
  <si>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</si>
  <si>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</si>
  <si>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</si>
  <si>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</si>
  <si>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</si>
  <si>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</si>
  <si>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</si>
  <si>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</si>
  <si>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</si>
  <si>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</si>
  <si>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</si>
  <si>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</si>
  <si>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</si>
  <si>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</si>
  <si>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</si>
  <si>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</si>
  <si>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</si>
  <si>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</si>
  <si>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</si>
  <si>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</si>
  <si>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</si>
  <si>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</si>
  <si>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</si>
  <si>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</si>
  <si>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</si>
  <si>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</si>
  <si>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</si>
  <si>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</si>
  <si>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</si>
  <si>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</si>
  <si>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</si>
  <si>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</si>
  <si>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</si>
  <si>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</si>
  <si>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</si>
  <si>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</si>
  <si>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</si>
  <si>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</si>
  <si>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</si>
  <si>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</si>
  <si>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</si>
  <si>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</si>
  <si>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</si>
  <si>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</si>
  <si>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</si>
  <si>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</si>
  <si>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</si>
  <si>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</si>
  <si>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</si>
  <si>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</si>
  <si>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</si>
  <si>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</si>
  <si>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</si>
  <si>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</si>
  <si>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</si>
  <si>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</si>
  <si>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</si>
  <si>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</si>
  <si>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</si>
  <si>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</si>
  <si>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</si>
  <si>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</si>
  <si>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</si>
  <si>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</si>
  <si>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</si>
  <si>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</si>
  <si>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</si>
  <si>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</si>
  <si>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</si>
  <si>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</si>
  <si>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</si>
  <si>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</si>
  <si>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</si>
  <si>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</si>
  <si>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</si>
  <si>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</si>
  <si>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</si>
  <si>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</si>
  <si>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</si>
  <si>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</si>
  <si>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</si>
  <si>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</si>
  <si>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</si>
  <si>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</si>
  <si>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</si>
  <si>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</si>
  <si>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</si>
  <si>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</si>
  <si>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</si>
  <si>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</si>
  <si>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</si>
  <si>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</si>
  <si>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</si>
  <si>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</si>
  <si>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</si>
  <si>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</si>
  <si>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</si>
  <si>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</si>
  <si>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</si>
  <si>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</si>
  <si>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</si>
  <si>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</si>
  <si>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</si>
  <si>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</si>
  <si>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</si>
  <si>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</si>
  <si>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</si>
  <si>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</si>
  <si>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</si>
  <si>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</si>
  <si>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</si>
  <si>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</si>
  <si>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</si>
  <si>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</si>
  <si>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</si>
  <si>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</si>
  <si>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</si>
  <si>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</si>
  <si>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</si>
  <si>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</si>
  <si>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</si>
  <si>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</si>
  <si>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</si>
  <si>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</si>
  <si>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</si>
  <si>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</si>
  <si>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</si>
  <si>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</si>
  <si>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</si>
  <si>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</si>
  <si>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</si>
  <si>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</si>
  <si>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</si>
  <si>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</si>
  <si>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</si>
  <si>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</si>
  <si>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</si>
  <si>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</si>
  <si>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</si>
  <si>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</si>
  <si>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</si>
  <si>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</si>
  <si>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</si>
  <si>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</si>
  <si>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</si>
  <si>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</si>
  <si>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</si>
  <si>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</si>
  <si>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</si>
  <si>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</si>
  <si>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</si>
  <si>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</si>
  <si>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</si>
  <si>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</si>
  <si>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</si>
  <si>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</si>
  <si>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</si>
  <si>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</si>
  <si>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</si>
  <si>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</si>
  <si>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</si>
  <si>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</si>
  <si>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</si>
  <si>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</si>
  <si>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</si>
  <si>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</si>
  <si>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</si>
  <si>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</si>
  <si>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</si>
  <si>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</si>
  <si>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</si>
  <si>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</si>
  <si>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</si>
  <si>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</si>
  <si>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</si>
  <si>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</si>
  <si>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</si>
  <si>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</si>
  <si>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</si>
  <si>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</si>
  <si>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</si>
  <si>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</si>
  <si>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</si>
  <si>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</si>
  <si>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</si>
  <si>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</si>
  <si>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</si>
  <si>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</si>
  <si>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</si>
  <si>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</si>
  <si>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</si>
  <si>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</si>
  <si>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</si>
  <si>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</si>
  <si>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</si>
  <si>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</si>
  <si>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</si>
  <si>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</si>
  <si>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</si>
  <si>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</si>
  <si>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</si>
  <si>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</si>
  <si>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</si>
  <si>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</si>
  <si>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</si>
  <si>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</si>
  <si>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</si>
  <si>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</si>
  <si>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</si>
  <si>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</si>
  <si>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</si>
  <si>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</si>
  <si>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</si>
  <si>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</si>
  <si>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</si>
  <si>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</si>
  <si>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</si>
  <si>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</si>
  <si>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</si>
  <si>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</si>
  <si>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</si>
  <si>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</si>
  <si>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</si>
  <si>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</si>
  <si>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</si>
  <si>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</si>
  <si>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</si>
  <si>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</si>
  <si>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</si>
  <si>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</si>
  <si>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</si>
  <si>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</si>
  <si>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</si>
  <si>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</si>
  <si>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</si>
  <si>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</si>
  <si>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</si>
  <si>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</si>
  <si>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</si>
  <si>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</si>
  <si>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</si>
  <si>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</si>
  <si>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</si>
  <si>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</si>
  <si>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</si>
  <si>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</si>
  <si>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</si>
  <si>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</si>
  <si>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</si>
  <si>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</si>
  <si>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</si>
  <si>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</si>
  <si>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</si>
  <si>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</si>
  <si>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</si>
  <si>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</si>
  <si>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</si>
  <si>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</si>
  <si>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</si>
  <si>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</si>
  <si>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</si>
  <si>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</si>
  <si>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</si>
  <si>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</si>
  <si>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</si>
  <si>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</si>
  <si>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</si>
  <si>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</si>
  <si>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</si>
  <si>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</si>
  <si>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</si>
  <si>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</si>
  <si>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</si>
  <si>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</si>
  <si>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</si>
  <si>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</si>
  <si>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</si>
  <si>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</si>
  <si>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</si>
  <si>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</si>
  <si>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</si>
  <si>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</si>
  <si>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</si>
  <si>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</si>
  <si>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</si>
  <si>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</si>
  <si>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</si>
  <si>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</si>
  <si>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</si>
  <si>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</si>
  <si>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</si>
  <si>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</si>
  <si>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</si>
  <si>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</si>
  <si>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</si>
  <si>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</si>
  <si>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</si>
  <si>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</si>
  <si>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</si>
  <si>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</si>
  <si>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</si>
  <si>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</si>
  <si>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</si>
  <si>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</si>
  <si>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</si>
  <si>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</si>
  <si>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</si>
  <si>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</si>
  <si>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</si>
  <si>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</si>
  <si>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</si>
  <si>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</si>
  <si>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</si>
  <si>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</si>
  <si>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</si>
  <si>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</si>
  <si>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</si>
  <si>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</si>
  <si>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</si>
  <si>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</si>
  <si>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</si>
  <si>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</si>
  <si>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</si>
  <si>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</si>
  <si>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</si>
  <si>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</si>
  <si>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</si>
  <si>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</si>
  <si>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</si>
  <si>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</si>
  <si>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</si>
  <si>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</si>
  <si>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</si>
  <si>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</si>
  <si>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</si>
  <si>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</si>
  <si>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</si>
  <si>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</si>
  <si>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</si>
  <si>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</si>
  <si>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</si>
  <si>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</si>
  <si>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</si>
  <si>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</si>
  <si>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</si>
  <si>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</si>
  <si>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</si>
  <si>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</si>
  <si>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</si>
  <si>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</si>
  <si>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</si>
  <si>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</si>
  <si>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</si>
  <si>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</si>
  <si>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</si>
  <si>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</si>
  <si>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</si>
  <si>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</si>
  <si>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</si>
  <si>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</si>
  <si>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</si>
  <si>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</si>
  <si>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</si>
  <si>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</si>
  <si>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</si>
  <si>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</si>
  <si>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</si>
  <si>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</si>
  <si>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</si>
  <si>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</si>
  <si>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</si>
  <si>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</si>
  <si>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</si>
  <si>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</si>
  <si>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</si>
  <si>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</si>
  <si>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</si>
  <si>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</si>
  <si>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</si>
  <si>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</si>
  <si>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</si>
  <si>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</si>
  <si>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</si>
  <si>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</si>
  <si>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</si>
  <si>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</si>
  <si>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</si>
  <si>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</si>
  <si>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</si>
  <si>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</si>
  <si>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</si>
  <si>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</si>
  <si>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</si>
  <si>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</si>
  <si>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</si>
  <si>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</si>
  <si>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</si>
  <si>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</si>
  <si>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</si>
  <si>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</si>
  <si>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</si>
  <si>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</si>
  <si>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</si>
  <si>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</si>
  <si>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</si>
  <si>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</si>
  <si>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</si>
  <si>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</si>
  <si>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</si>
  <si>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</si>
  <si>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</si>
  <si>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</si>
  <si>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</si>
  <si>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</si>
  <si>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</si>
  <si>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</si>
  <si>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</si>
  <si>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</si>
  <si>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</si>
  <si>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</si>
  <si>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</si>
  <si>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</si>
  <si>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</si>
  <si>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</si>
  <si>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</si>
  <si>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</si>
  <si>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</si>
  <si>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</si>
  <si>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</si>
  <si>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</si>
  <si>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</si>
  <si>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</si>
  <si>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</si>
  <si>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</si>
  <si>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</si>
  <si>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</si>
  <si>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</si>
  <si>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</si>
  <si>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</si>
  <si>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</si>
  <si>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</si>
  <si>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</si>
  <si>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</si>
  <si>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</si>
  <si>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</si>
  <si>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</si>
  <si>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</si>
  <si>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</si>
  <si>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</si>
  <si>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</si>
  <si>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</si>
  <si>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</si>
  <si>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</si>
  <si>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</si>
  <si>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</si>
  <si>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</si>
  <si>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</si>
  <si>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</si>
  <si>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</si>
  <si>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</si>
  <si>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</si>
  <si>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</si>
  <si>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</si>
  <si>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</si>
  <si>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</si>
  <si>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</si>
  <si>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</si>
  <si>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</si>
  <si>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</si>
  <si>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</si>
  <si>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</si>
  <si>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</si>
  <si>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</si>
  <si>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</si>
  <si>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</si>
  <si>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</si>
  <si>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</si>
  <si>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</si>
  <si>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</si>
  <si>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</si>
  <si>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</si>
  <si>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</si>
  <si>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</si>
  <si>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</si>
  <si>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</si>
  <si>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</si>
  <si>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</si>
  <si>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</si>
  <si>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</si>
  <si>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</si>
  <si>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</si>
  <si>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</si>
  <si>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</si>
  <si>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</si>
  <si>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</si>
  <si>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</si>
  <si>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</si>
  <si>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</si>
  <si>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</si>
  <si>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</si>
  <si>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</si>
  <si>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</si>
  <si>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</si>
  <si>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</si>
  <si>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</si>
  <si>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</si>
  <si>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</si>
  <si>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</si>
  <si>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</si>
  <si>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</si>
  <si>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</si>
  <si>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</si>
  <si>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</si>
  <si>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</si>
  <si>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</si>
  <si>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</si>
  <si>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</si>
  <si>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</si>
  <si>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</si>
  <si>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</si>
  <si>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</si>
  <si>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</si>
  <si>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</si>
  <si>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</si>
  <si>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</si>
  <si>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</si>
  <si>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</si>
  <si>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</si>
  <si>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</si>
  <si>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</si>
  <si>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</si>
  <si>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</si>
  <si>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</si>
  <si>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</si>
  <si>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</si>
  <si>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</si>
  <si>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</si>
  <si>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</si>
  <si>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</si>
  <si>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</si>
  <si>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</si>
  <si>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</si>
  <si>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</si>
  <si>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</si>
  <si>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</si>
  <si>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</si>
  <si>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</si>
  <si>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</si>
  <si>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</si>
  <si>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</si>
  <si>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</si>
  <si>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</si>
  <si>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</si>
  <si>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</si>
  <si>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</si>
  <si>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</si>
  <si>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</si>
  <si>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</si>
  <si>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</si>
  <si>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</si>
  <si>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</si>
  <si>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</si>
  <si>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</si>
  <si>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</si>
  <si>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</si>
  <si>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</si>
  <si>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</si>
  <si>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</si>
  <si>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</si>
  <si>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</si>
  <si>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</si>
  <si>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</si>
  <si>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</si>
  <si>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</si>
  <si>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</si>
  <si>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</si>
  <si>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</si>
  <si>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</si>
  <si>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</si>
  <si>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</si>
  <si>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</si>
  <si>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</si>
  <si>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</si>
  <si>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</si>
  <si>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</si>
  <si>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</si>
  <si>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</si>
  <si>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</si>
  <si>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</si>
  <si>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</si>
  <si>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</si>
  <si>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</si>
  <si>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</si>
  <si>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</si>
  <si>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</si>
  <si>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</si>
  <si>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</si>
  <si>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</si>
  <si>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</si>
  <si>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</si>
  <si>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</si>
  <si>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</si>
  <si>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</si>
  <si>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</si>
  <si>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</si>
  <si>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</si>
  <si>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</si>
  <si>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</si>
  <si>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</si>
  <si>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</si>
  <si>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</si>
  <si>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</si>
  <si>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</si>
  <si>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</si>
  <si>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</si>
  <si>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</si>
  <si>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</si>
  <si>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</si>
  <si>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</si>
  <si>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</si>
  <si>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</si>
  <si>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</si>
  <si>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</si>
  <si>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</si>
  <si>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</si>
  <si>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</si>
  <si>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</si>
  <si>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</si>
  <si>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</si>
  <si>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</si>
  <si>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</si>
  <si>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</si>
  <si>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</si>
  <si>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</si>
  <si>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</si>
  <si>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</si>
  <si>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</si>
  <si>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</si>
  <si>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</si>
  <si>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</si>
  <si>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</si>
  <si>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</si>
  <si>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</si>
  <si>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</si>
  <si>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</si>
  <si>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</si>
  <si>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</si>
  <si>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</si>
  <si>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</si>
  <si>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</si>
  <si>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</si>
  <si>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</si>
  <si>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</si>
  <si>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</si>
  <si>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</si>
  <si>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</si>
  <si>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</si>
  <si>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</si>
  <si>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</si>
  <si>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</si>
  <si>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</si>
  <si>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</si>
  <si>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</si>
  <si>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</si>
  <si>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</si>
  <si>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</si>
  <si>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</si>
  <si>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</si>
  <si>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</si>
  <si>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</si>
  <si>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</si>
  <si>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</si>
  <si>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</si>
  <si>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</si>
  <si>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</si>
  <si>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Resistor_120_1_1206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</si>
  <si>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</si>
  <si>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</si>
  <si>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</si>
  <si>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</si>
  <si>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</si>
  <si>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</si>
  <si>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</si>
  <si>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</si>
  <si>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</si>
  <si>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</si>
  <si>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</si>
  <si>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</si>
  <si>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</si>
  <si>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</si>
  <si>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</si>
  <si>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</si>
  <si>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</si>
  <si>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</si>
  <si>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</si>
  <si>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</si>
  <si>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</si>
  <si>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</si>
  <si>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</si>
  <si>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</si>
  <si>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</si>
  <si>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</si>
  <si>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</si>
  <si>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</si>
  <si>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</si>
  <si>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</si>
  <si>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</si>
  <si>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</si>
  <si>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</si>
  <si>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</si>
  <si>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</si>
  <si>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</si>
  <si>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</si>
  <si>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</si>
  <si>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</si>
  <si>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</si>
  <si>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</si>
  <si>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URB2405YMD-15WR3</t>
  </si>
  <si>
    <t>DC-DC понижающий преобразователь, Vin: 9-36 В; 5 В; 3 А</t>
  </si>
  <si>
    <t>https://static.chipdip.ru/lib2/b/119/DOC073119166.pdf</t>
  </si>
  <si>
    <t>https://www.chipdip.ru/product/adr02bujz-reel7-analog-devices-8001656524</t>
  </si>
  <si>
    <t>Vouka05</t>
  </si>
  <si>
    <t>https://www.chipdip.ru/product/ads1220ipwr-24-bit-sigma-delta-texas-instruments-9000527504</t>
  </si>
  <si>
    <t>Vouka06</t>
  </si>
  <si>
    <t>https://www.chipdip.ru/product/max3051eka-t-can-transiver-1mbps-3.3v-sot-23-8-maxim-9000980588</t>
  </si>
  <si>
    <t>AP63203WU-7</t>
  </si>
  <si>
    <t>DC-DC Преобразователь</t>
  </si>
  <si>
    <t>ADR02BUJZ</t>
  </si>
  <si>
    <t>Источник опорного напряжения, 5В</t>
  </si>
  <si>
    <t>ADS1220IPWR</t>
  </si>
  <si>
    <t>24-Бит Sigma-Delta аналого-цифровой преобразователь</t>
  </si>
  <si>
    <t>Picoblade_532610371</t>
  </si>
  <si>
    <t>Picoblade 3-pin разъем</t>
  </si>
  <si>
    <t>Conn_3pin_2shield</t>
  </si>
  <si>
    <t>CONN_532610001-SD_03_MOL</t>
  </si>
  <si>
    <t>https://www.chipdip.ru/product/53398-0667-pin-header-signal-wire-to-board-1.25-mm-1-molex-8013238168?from=similar_product_calc</t>
  </si>
  <si>
    <t>PicoBlade_53398-0471</t>
  </si>
  <si>
    <t>Разъем PicoBlade 1.25 мм, 4pin</t>
  </si>
  <si>
    <t>Conn_4pin_2shield</t>
  </si>
  <si>
    <t>53398-0471</t>
  </si>
  <si>
    <t>https://www.chipdip.ru/product/53398-0471-razem-picoblade-1.25-mm-4pin-shtyrevoy-na-molex-9000180711</t>
  </si>
  <si>
    <t>Столбец1</t>
  </si>
  <si>
    <t>Столбец2</t>
  </si>
  <si>
    <t>AP63203WU-8</t>
  </si>
  <si>
    <t>SOT23-9</t>
  </si>
  <si>
    <t>Vouka07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</si>
</sst>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9" fontId="4" fillId="0" borderId="0" xfId="0" applyNumberFormat="1" applyFont="1" applyAlignment="1">
      <alignment horizontal="right"/>
    </xf>
    <xf numFmtId="0" fontId="13" fillId="0" borderId="0" xfId="0" applyFont="1"/>
    <xf numFmtId="0" fontId="0" fillId="0" borderId="0" xfId="0" applyAlignment="1">
      <alignment horizontal="left" vertical="top"/>
    </xf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4" tableType="xml" totalsRowShown="0" headerRowDxfId="146" connectionId="6">
  <autoFilter ref="A1:M74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5" tableType="xml" totalsRowShown="0" dataDxfId="141" connectionId="19">
  <autoFilter ref="A1:M15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0" tableType="xml" totalsRowShown="0" headerRowDxfId="46" connectionId="9">
  <autoFilter ref="A1:R3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N71" tableType="xml" totalsRowShown="0" headerRowDxfId="3" connectionId="7">
  <autoFilter ref="A1:N71" xr:uid="{1A41BD32-B698-4872-A86C-4CAC56B9AD83}"/>
  <tableColumns count="14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  <tableColumn id="13" xr3:uid="{24AD4F99-B35A-4243-A80F-480FEDF99238}" uniqueName="13" name="Столбец1"/>
    <tableColumn id="14" xr3:uid="{B2C0751C-B905-4DAF-AEB8-9116B5A08DB5}" uniqueName="14" name="Столбец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4"/>
  <sheetViews>
    <sheetView tabSelected="1" topLeftCell="A44" zoomScale="85" zoomScaleNormal="85" workbookViewId="0">
      <selection activeCell="A74" sqref="A74"/>
    </sheetView>
  </sheetViews>
  <sheetFormatPr defaultRowHeight="15" x14ac:dyDescent="0.25"/>
  <cols>
    <col min="1" max="1" width="21.42578125" bestFit="1" customWidth="1"/>
    <col min="2" max="2" width="103.28515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28515625" bestFit="1" customWidth="1"/>
    <col min="7" max="7" width="21.42578125" bestFit="1" customWidth="1"/>
    <col min="8" max="8" width="22.7109375" bestFit="1" customWidth="1"/>
    <col min="9" max="9" width="18.28515625" bestFit="1" customWidth="1"/>
    <col min="10" max="10" width="16.42578125" customWidth="1"/>
    <col min="11" max="11" width="14.5703125" customWidth="1"/>
    <col min="12" max="12" width="13.28515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2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2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2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2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2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2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2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2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2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25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25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25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25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25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25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25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25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25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25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25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25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25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25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25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25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25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25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25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25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25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25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25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25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2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2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2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2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2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2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25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2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25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2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25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2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25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2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25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25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25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25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25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25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25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25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25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25">
      <c r="A61" t="s">
        <v>1670</v>
      </c>
      <c r="B61" t="s">
        <v>1671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1670</v>
      </c>
      <c r="F61" t="str">
        <f>CONCATENATE("Footprints\",G61,".PcbLib")</f>
        <v>Footprints\TSOT26.PcbLib</v>
      </c>
      <c r="G61" t="s">
        <v>1170</v>
      </c>
      <c r="L61" s="38" t="s">
        <v>1672</v>
      </c>
      <c r="M61" s="55" t="s">
        <v>1450</v>
      </c>
    </row>
    <row r="62" spans="1:13" x14ac:dyDescent="0.25">
      <c r="A62" t="s">
        <v>1678</v>
      </c>
      <c r="B62" t="s">
        <v>1673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6" t="str">
        <f>A62</f>
        <v>ADP150AUJZ-3.3</v>
      </c>
      <c r="F62" s="56" t="str">
        <f>CONCATENATE("Footprints\",G62,".PcbLib")</f>
        <v>Footprints\SOT23-5.PcbLib</v>
      </c>
      <c r="G62" s="56" t="s">
        <v>1376</v>
      </c>
      <c r="L62" s="52" t="s">
        <v>1674</v>
      </c>
      <c r="M62" s="57" t="s">
        <v>1450</v>
      </c>
    </row>
    <row r="63" spans="1:13" x14ac:dyDescent="0.25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8" t="s">
        <v>1677</v>
      </c>
      <c r="M63" s="57" t="s">
        <v>1450</v>
      </c>
    </row>
    <row r="64" spans="1:13" x14ac:dyDescent="0.25">
      <c r="A64" t="s">
        <v>1695</v>
      </c>
      <c r="B64" t="s">
        <v>1696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1697</v>
      </c>
      <c r="L64" s="38" t="s">
        <v>1698</v>
      </c>
      <c r="M64" s="57" t="s">
        <v>1450</v>
      </c>
    </row>
    <row r="65" spans="1:13" x14ac:dyDescent="0.25">
      <c r="A65" t="s">
        <v>1712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6" t="s">
        <v>76</v>
      </c>
      <c r="L65" t="s">
        <v>1713</v>
      </c>
      <c r="M65" t="s">
        <v>1714</v>
      </c>
    </row>
    <row r="66" spans="1:13" x14ac:dyDescent="0.25">
      <c r="A66" t="s">
        <v>1715</v>
      </c>
      <c r="B66" t="s">
        <v>1716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688</v>
      </c>
      <c r="L66" s="38" t="s">
        <v>1717</v>
      </c>
      <c r="M66" t="s">
        <v>1714</v>
      </c>
    </row>
    <row r="67" spans="1:13" x14ac:dyDescent="0.25">
      <c r="A67" t="s">
        <v>1718</v>
      </c>
      <c r="B67" t="s">
        <v>1719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1720</v>
      </c>
      <c r="M67" t="s">
        <v>1714</v>
      </c>
    </row>
    <row r="68" spans="1:13" x14ac:dyDescent="0.25">
      <c r="A68" t="s">
        <v>1721</v>
      </c>
      <c r="B68" t="s">
        <v>1722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6" t="s">
        <v>1376</v>
      </c>
      <c r="L68" s="38" t="s">
        <v>1723</v>
      </c>
      <c r="M68" t="s">
        <v>1714</v>
      </c>
    </row>
    <row r="69" spans="1:13" x14ac:dyDescent="0.25">
      <c r="A69" t="s">
        <v>1724</v>
      </c>
      <c r="B69" t="s">
        <v>1725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1726</v>
      </c>
      <c r="L69" t="s">
        <v>1727</v>
      </c>
      <c r="M69" t="s">
        <v>1714</v>
      </c>
    </row>
    <row r="70" spans="1:13" x14ac:dyDescent="0.25">
      <c r="A70" t="s">
        <v>1744</v>
      </c>
      <c r="B70" t="s">
        <v>1745</v>
      </c>
      <c r="C70" s="2" t="str">
        <f>A70</f>
        <v>URB2405YMD-15WR3</v>
      </c>
      <c r="D70" t="str">
        <f>CONCATENATE("Schematic\",A70,".SchLib")</f>
        <v>Schematic\URB2405YMD-15WR3.SchLib</v>
      </c>
      <c r="E70" t="s">
        <v>1744</v>
      </c>
      <c r="F70" t="str">
        <f>CONCATENATE("Footprints\",G70,".PcbLib")</f>
        <v>Footprints\URB2405YMD-15WR3.PcbLib</v>
      </c>
      <c r="G70" t="s">
        <v>1744</v>
      </c>
      <c r="L70" t="s">
        <v>1746</v>
      </c>
      <c r="M70" t="s">
        <v>1694</v>
      </c>
    </row>
    <row r="71" spans="1:13" x14ac:dyDescent="0.25">
      <c r="A71" t="s">
        <v>1754</v>
      </c>
      <c r="B71" t="s">
        <v>1755</v>
      </c>
      <c r="C71" s="2" t="str">
        <f>A71</f>
        <v>ADR02BUJZ</v>
      </c>
      <c r="D71" t="str">
        <f>CONCATENATE("Schematic\",A71,".SchLib")</f>
        <v>Schematic\ADR02BUJZ.SchLib</v>
      </c>
      <c r="E71" t="str">
        <f>A71</f>
        <v>ADR02BUJZ</v>
      </c>
      <c r="F71" t="str">
        <f t="shared" ref="F71:F72" si="32">CONCATENATE("Footprints\",G71,".PcbLib")</f>
        <v>Footprints\SOT23-5.PcbLib</v>
      </c>
      <c r="G71" s="56" t="s">
        <v>1376</v>
      </c>
      <c r="L71" s="38" t="s">
        <v>1747</v>
      </c>
      <c r="M71" t="s">
        <v>1748</v>
      </c>
    </row>
    <row r="72" spans="1:13" x14ac:dyDescent="0.25">
      <c r="A72" t="s">
        <v>1756</v>
      </c>
      <c r="B72" s="59" t="s">
        <v>1757</v>
      </c>
      <c r="C72" s="2" t="str">
        <f>A72</f>
        <v>ADS1220IPWR</v>
      </c>
      <c r="D72" t="str">
        <f>CONCATENATE("Schematic\",A72,".SchLib")</f>
        <v>Schematic\ADS1220IPWR.SchLib</v>
      </c>
      <c r="E72" t="str">
        <f>A72</f>
        <v>ADS1220IPWR</v>
      </c>
      <c r="F72" t="str">
        <f t="shared" si="32"/>
        <v>Footprints\TSSOP-16.PcbLib</v>
      </c>
      <c r="G72" t="s">
        <v>722</v>
      </c>
      <c r="L72" s="38" t="s">
        <v>1749</v>
      </c>
      <c r="M72" t="s">
        <v>1750</v>
      </c>
    </row>
    <row r="73" spans="1:13" x14ac:dyDescent="0.25">
      <c r="A73" t="s">
        <v>1752</v>
      </c>
      <c r="B73" t="s">
        <v>1753</v>
      </c>
      <c r="C73" s="2">
        <f>A75</f>
        <v>0</v>
      </c>
      <c r="D73" t="str">
        <f>CONCATENATE("Schematic\",A75,".SchLib")</f>
        <v>Schematic\.SchLib</v>
      </c>
      <c r="E73" t="s">
        <v>1752</v>
      </c>
      <c r="F73" t="str">
        <f>CONCATENATE("Footprints\",G73,".PcbLib")</f>
        <v>Footprints\SOT23-8.PcbLib</v>
      </c>
      <c r="G73" t="s">
        <v>1697</v>
      </c>
      <c r="L73" s="38" t="s">
        <v>1751</v>
      </c>
      <c r="M73" t="s">
        <v>1750</v>
      </c>
    </row>
    <row r="74" spans="1:13" x14ac:dyDescent="0.25">
      <c r="A74" t="s">
        <v>1770</v>
      </c>
      <c r="B74" t="s">
        <v>1753</v>
      </c>
      <c r="C74" s="2">
        <f>A76</f>
        <v>0</v>
      </c>
      <c r="D74" t="str">
        <f>CONCATENATE("Schematic\",A76,".SchLib")</f>
        <v>Schematic\.SchLib</v>
      </c>
      <c r="E74" t="s">
        <v>1770</v>
      </c>
      <c r="F74" t="str">
        <f>CONCATENATE("Footprints\",G74,".PcbLib")</f>
        <v>Footprints\SOT23-9.PcbLib</v>
      </c>
      <c r="G74" t="s">
        <v>1771</v>
      </c>
      <c r="L74" s="38" t="s">
        <v>1751</v>
      </c>
      <c r="M74" t="s">
        <v>1772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28515625" customWidth="1"/>
    <col min="4" max="4" width="31.28515625" bestFit="1" customWidth="1"/>
    <col min="5" max="5" width="14.7109375" bestFit="1" customWidth="1"/>
    <col min="6" max="6" width="25.28515625" bestFit="1" customWidth="1"/>
    <col min="7" max="7" width="16.5703125" bestFit="1" customWidth="1"/>
    <col min="8" max="8" width="12.7109375" customWidth="1"/>
    <col min="9" max="9" width="12.28515625" style="18" customWidth="1"/>
    <col min="10" max="10" width="13.28515625" customWidth="1"/>
  </cols>
  <sheetData>
    <row r="1" spans="1:11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2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25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2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2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25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25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25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25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25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25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2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5" x14ac:dyDescent="0.25"/>
  <cols>
    <col min="1" max="1" width="13.7109375" bestFit="1" customWidth="1"/>
    <col min="2" max="2" width="46.71093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7109375" bestFit="1" customWidth="1"/>
    <col min="8" max="8" width="19.7109375" bestFit="1" customWidth="1"/>
    <col min="9" max="9" width="21.5703125" bestFit="1" customWidth="1"/>
    <col min="10" max="10" width="12" bestFit="1" customWidth="1"/>
    <col min="11" max="11" width="7.7109375" bestFit="1" customWidth="1"/>
    <col min="12" max="12" width="10.7109375" customWidth="1"/>
    <col min="13" max="13" width="15.28515625" customWidth="1"/>
  </cols>
  <sheetData>
    <row r="1" spans="1:14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15" customHeight="1" x14ac:dyDescent="0.25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25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25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25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25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25">
      <c r="H7" s="2"/>
      <c r="I7" s="2"/>
      <c r="J7" s="2"/>
      <c r="K7" s="2"/>
    </row>
    <row r="8" spans="1:14" x14ac:dyDescent="0.25">
      <c r="H8" s="2"/>
      <c r="I8" s="2"/>
      <c r="J8" s="2"/>
      <c r="K8" s="2"/>
    </row>
    <row r="9" spans="1:14" x14ac:dyDescent="0.25">
      <c r="H9" s="2"/>
      <c r="I9" s="2"/>
      <c r="J9" s="2"/>
      <c r="K9" s="2"/>
    </row>
    <row r="10" spans="1:14" x14ac:dyDescent="0.25">
      <c r="H10" s="2"/>
      <c r="I10" s="2"/>
      <c r="J10" s="2"/>
      <c r="K10" s="2"/>
    </row>
    <row r="11" spans="1:14" x14ac:dyDescent="0.25">
      <c r="H11" s="2"/>
      <c r="I11" s="2"/>
      <c r="J11" s="2"/>
      <c r="K11" s="2"/>
    </row>
    <row r="12" spans="1:14" x14ac:dyDescent="0.25">
      <c r="H12" s="2"/>
      <c r="I12" s="2"/>
      <c r="J12" s="2"/>
      <c r="K12" s="2"/>
    </row>
    <row r="13" spans="1:14" x14ac:dyDescent="0.25">
      <c r="H13" s="2"/>
      <c r="I13" s="2"/>
      <c r="J13" s="2"/>
      <c r="K13" s="2"/>
    </row>
    <row r="14" spans="1:14" x14ac:dyDescent="0.25">
      <c r="H14" s="2"/>
      <c r="I14" s="2"/>
      <c r="J14" s="2"/>
      <c r="K14" s="2"/>
    </row>
    <row r="15" spans="1:14" x14ac:dyDescent="0.25">
      <c r="H15" s="2"/>
      <c r="I15" s="2"/>
      <c r="J15" s="2"/>
      <c r="K15" s="2"/>
    </row>
    <row r="16" spans="1:14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5"/>
  <sheetViews>
    <sheetView topLeftCell="B1" zoomScaleNormal="85" workbookViewId="0">
      <selection activeCell="E18" sqref="E18"/>
    </sheetView>
  </sheetViews>
  <sheetFormatPr defaultRowHeight="15" x14ac:dyDescent="0.25"/>
  <cols>
    <col min="1" max="1" width="20.42578125" customWidth="1"/>
    <col min="2" max="2" width="53.7109375" customWidth="1"/>
    <col min="3" max="3" width="15.7109375" customWidth="1"/>
    <col min="4" max="4" width="26.42578125" customWidth="1"/>
    <col min="5" max="5" width="11.7109375" customWidth="1"/>
    <col min="6" max="6" width="16.42578125" customWidth="1"/>
    <col min="7" max="7" width="15.42578125" customWidth="1"/>
    <col min="8" max="8" width="12.5703125" customWidth="1"/>
    <col min="9" max="9" width="11.7109375" customWidth="1"/>
    <col min="10" max="10" width="8" bestFit="1" customWidth="1"/>
    <col min="11" max="11" width="10.42578125" customWidth="1"/>
    <col min="12" max="12" width="13.28515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2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2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2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2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25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25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25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25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2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2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25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25">
      <c r="A13" t="s">
        <v>1511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1425</v>
      </c>
    </row>
    <row r="14" spans="1:13" x14ac:dyDescent="0.25">
      <c r="A14" t="s">
        <v>1699</v>
      </c>
      <c r="B14" t="str">
        <f xml:space="preserve"> IF(NOT(K14=""),CONCATENATE("Защитный диод для линии ",K14),CONCATENATE("Защитный диод на ", H14," В, рассеиваемая мощность ", I14," Вт"))</f>
        <v>Защитный диод для линии CAN</v>
      </c>
      <c r="C14" t="str">
        <f>A14</f>
        <v>PESD1CAN,215</v>
      </c>
      <c r="D14" t="str">
        <f>CONCATENATE("Schematic\TVS\",E14,".SchLib")</f>
        <v>Schematic\TVS\TVS_2_2dir.SchLib</v>
      </c>
      <c r="E14" t="s">
        <v>79</v>
      </c>
      <c r="F14" t="str">
        <f>CONCATENATE("Footprints\",G14,".PcbLib")</f>
        <v>Footprints\SOT23-3.PcbLib</v>
      </c>
      <c r="G14" t="s">
        <v>18</v>
      </c>
      <c r="J14" t="str">
        <f xml:space="preserve"> CONCATENATE(H14," В")</f>
        <v xml:space="preserve"> В</v>
      </c>
      <c r="K14" t="s">
        <v>1700</v>
      </c>
      <c r="L14" s="23" t="s">
        <v>1701</v>
      </c>
      <c r="M14" t="s">
        <v>1450</v>
      </c>
    </row>
    <row r="15" spans="1:13" x14ac:dyDescent="0.25">
      <c r="A15" t="s">
        <v>1742</v>
      </c>
      <c r="B15" t="str">
        <f xml:space="preserve"> IF(K15="RS-485","Защитный диод для линии RS-485",CONCATENATE("Защитный диод на ", H15," В, рассеиваемая мощность ", I15," Вт"))</f>
        <v>Защитный диод на 5 В, рассеиваемая мощность 400 Вт</v>
      </c>
      <c r="C15" t="str">
        <f>A15</f>
        <v>SMAJ5.0A-TR</v>
      </c>
      <c r="D15" t="str">
        <f>CONCATENATE("Schematic\TVS\",E15,".SchLib")</f>
        <v>Schematic\TVS\TVS_1_1dir.SchLib</v>
      </c>
      <c r="E15" t="s">
        <v>78</v>
      </c>
      <c r="F15" t="str">
        <f>CONCATENATE("Footprints\",G15,".PcbLib")</f>
        <v>Footprints\SMA.PcbLib</v>
      </c>
      <c r="G15" t="s">
        <v>128</v>
      </c>
      <c r="H15">
        <v>5</v>
      </c>
      <c r="I15">
        <v>400</v>
      </c>
      <c r="J15" t="str">
        <f xml:space="preserve"> CONCATENATE(H15," В")</f>
        <v>5 В</v>
      </c>
      <c r="L15" t="s">
        <v>1743</v>
      </c>
      <c r="M15" t="s">
        <v>1694</v>
      </c>
    </row>
  </sheetData>
  <phoneticPr fontId="3" type="noConversion"/>
  <hyperlinks>
    <hyperlink ref="L14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topLeftCell="A11" zoomScale="119" zoomScaleNormal="70" workbookViewId="0">
      <selection activeCell="L21" sqref="L21"/>
    </sheetView>
  </sheetViews>
  <sheetFormatPr defaultRowHeight="15" x14ac:dyDescent="0.25"/>
  <cols>
    <col min="1" max="1" width="14.7109375" customWidth="1"/>
    <col min="2" max="2" width="93.28515625" customWidth="1"/>
    <col min="3" max="3" width="12.42578125" bestFit="1" customWidth="1"/>
    <col min="4" max="4" width="35.7109375" bestFit="1" customWidth="1"/>
    <col min="5" max="5" width="24.42578125" bestFit="1" customWidth="1"/>
    <col min="6" max="6" width="23.28515625" bestFit="1" customWidth="1"/>
    <col min="7" max="7" width="16.7109375" customWidth="1"/>
    <col min="8" max="8" width="29.7109375" bestFit="1" customWidth="1"/>
    <col min="9" max="9" width="16.7109375" customWidth="1"/>
    <col min="12" max="12" width="13.71093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75" x14ac:dyDescent="0.25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75" x14ac:dyDescent="0.25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75" x14ac:dyDescent="0.25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75" x14ac:dyDescent="0.2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75" x14ac:dyDescent="0.25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75" x14ac:dyDescent="0.2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75" x14ac:dyDescent="0.25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75" x14ac:dyDescent="0.25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75" x14ac:dyDescent="0.25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75" x14ac:dyDescent="0.25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75" x14ac:dyDescent="0.25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75" x14ac:dyDescent="0.25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75" x14ac:dyDescent="0.25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1"/>
  <sheetViews>
    <sheetView topLeftCell="A171" zoomScale="70" zoomScaleNormal="70" workbookViewId="0">
      <selection activeCell="B193" sqref="B193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28515625" bestFit="1" customWidth="1"/>
    <col min="4" max="4" width="24.42578125" bestFit="1" customWidth="1"/>
    <col min="5" max="5" width="13" bestFit="1" customWidth="1"/>
    <col min="6" max="6" width="8.28515625" bestFit="1" customWidth="1"/>
    <col min="7" max="7" width="12.28515625" bestFit="1" customWidth="1"/>
    <col min="8" max="8" width="32" bestFit="1" customWidth="1"/>
    <col min="9" max="9" width="16.7109375" bestFit="1" customWidth="1"/>
    <col min="10" max="10" width="41.28515625" customWidth="1"/>
    <col min="11" max="11" width="18.28515625" customWidth="1"/>
    <col min="12" max="12" width="41.28515625" customWidth="1"/>
    <col min="13" max="13" width="18.28515625" customWidth="1"/>
    <col min="14" max="14" width="16.71093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75" x14ac:dyDescent="0.2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75" x14ac:dyDescent="0.2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75" x14ac:dyDescent="0.2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75" x14ac:dyDescent="0.2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75" x14ac:dyDescent="0.2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75" x14ac:dyDescent="0.2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75" x14ac:dyDescent="0.2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75" x14ac:dyDescent="0.2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75" x14ac:dyDescent="0.2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75" x14ac:dyDescent="0.2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75" x14ac:dyDescent="0.2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75" x14ac:dyDescent="0.2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75" x14ac:dyDescent="0.2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75" x14ac:dyDescent="0.2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75" x14ac:dyDescent="0.2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75" x14ac:dyDescent="0.2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75" x14ac:dyDescent="0.2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75" x14ac:dyDescent="0.2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75" x14ac:dyDescent="0.2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75" x14ac:dyDescent="0.2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75" x14ac:dyDescent="0.2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75" x14ac:dyDescent="0.2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75" x14ac:dyDescent="0.2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75" x14ac:dyDescent="0.2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75" x14ac:dyDescent="0.2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75" x14ac:dyDescent="0.2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75" x14ac:dyDescent="0.2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75" x14ac:dyDescent="0.2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75" x14ac:dyDescent="0.2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75" x14ac:dyDescent="0.2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75" x14ac:dyDescent="0.2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75" x14ac:dyDescent="0.2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75" x14ac:dyDescent="0.2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75" x14ac:dyDescent="0.2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75" x14ac:dyDescent="0.2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75" x14ac:dyDescent="0.2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75" x14ac:dyDescent="0.2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75" x14ac:dyDescent="0.2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75" x14ac:dyDescent="0.2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75" x14ac:dyDescent="0.2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75" x14ac:dyDescent="0.2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75" x14ac:dyDescent="0.2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75" x14ac:dyDescent="0.2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75" x14ac:dyDescent="0.2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75" x14ac:dyDescent="0.2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75" x14ac:dyDescent="0.2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75" x14ac:dyDescent="0.2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75" x14ac:dyDescent="0.2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75" x14ac:dyDescent="0.2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75" x14ac:dyDescent="0.2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75" x14ac:dyDescent="0.2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75" x14ac:dyDescent="0.2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75" x14ac:dyDescent="0.2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75" x14ac:dyDescent="0.2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75" x14ac:dyDescent="0.2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75" x14ac:dyDescent="0.2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75" x14ac:dyDescent="0.2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75" x14ac:dyDescent="0.2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75" x14ac:dyDescent="0.2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75" x14ac:dyDescent="0.2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75" x14ac:dyDescent="0.2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75" x14ac:dyDescent="0.2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75" x14ac:dyDescent="0.2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75" x14ac:dyDescent="0.2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75" x14ac:dyDescent="0.2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75" x14ac:dyDescent="0.2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75" x14ac:dyDescent="0.2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75" x14ac:dyDescent="0.2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75" x14ac:dyDescent="0.2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75" x14ac:dyDescent="0.2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75" x14ac:dyDescent="0.2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75" x14ac:dyDescent="0.2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75" x14ac:dyDescent="0.2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75" x14ac:dyDescent="0.2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75" x14ac:dyDescent="0.2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2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75" x14ac:dyDescent="0.2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75" x14ac:dyDescent="0.2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75" x14ac:dyDescent="0.2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75" x14ac:dyDescent="0.2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75" x14ac:dyDescent="0.2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75" x14ac:dyDescent="0.2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75" x14ac:dyDescent="0.2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75" x14ac:dyDescent="0.2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75" x14ac:dyDescent="0.2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75" x14ac:dyDescent="0.2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75" x14ac:dyDescent="0.2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75" x14ac:dyDescent="0.2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75" x14ac:dyDescent="0.2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75" x14ac:dyDescent="0.2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75" x14ac:dyDescent="0.2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75" x14ac:dyDescent="0.2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75" x14ac:dyDescent="0.2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75" x14ac:dyDescent="0.2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75" x14ac:dyDescent="0.2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75" x14ac:dyDescent="0.2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75" x14ac:dyDescent="0.2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2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2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75" x14ac:dyDescent="0.2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75" x14ac:dyDescent="0.2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2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75" x14ac:dyDescent="0.2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75" x14ac:dyDescent="0.2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75" x14ac:dyDescent="0.2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75" x14ac:dyDescent="0.2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75" x14ac:dyDescent="0.2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75" x14ac:dyDescent="0.2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75" x14ac:dyDescent="0.2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75" x14ac:dyDescent="0.2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75" x14ac:dyDescent="0.2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75" x14ac:dyDescent="0.25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75" x14ac:dyDescent="0.2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75" x14ac:dyDescent="0.2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75" x14ac:dyDescent="0.2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75" x14ac:dyDescent="0.2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75" x14ac:dyDescent="0.2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75" x14ac:dyDescent="0.2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75" x14ac:dyDescent="0.2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75" x14ac:dyDescent="0.2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75" x14ac:dyDescent="0.2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75" x14ac:dyDescent="0.2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75" x14ac:dyDescent="0.2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75" x14ac:dyDescent="0.2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75" x14ac:dyDescent="0.2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75" x14ac:dyDescent="0.2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75" x14ac:dyDescent="0.2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75" x14ac:dyDescent="0.2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75" x14ac:dyDescent="0.2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75" x14ac:dyDescent="0.2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75" x14ac:dyDescent="0.2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75" x14ac:dyDescent="0.2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75" x14ac:dyDescent="0.2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75" x14ac:dyDescent="0.2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75" x14ac:dyDescent="0.2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75" x14ac:dyDescent="0.2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75" x14ac:dyDescent="0.2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75" x14ac:dyDescent="0.2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75" x14ac:dyDescent="0.2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75" x14ac:dyDescent="0.2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75" x14ac:dyDescent="0.2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75" x14ac:dyDescent="0.2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75" x14ac:dyDescent="0.2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75" x14ac:dyDescent="0.2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75" x14ac:dyDescent="0.2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75" x14ac:dyDescent="0.2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75" x14ac:dyDescent="0.2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75" x14ac:dyDescent="0.2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75" x14ac:dyDescent="0.2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75" x14ac:dyDescent="0.2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75" x14ac:dyDescent="0.2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75" x14ac:dyDescent="0.2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75" x14ac:dyDescent="0.2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75" x14ac:dyDescent="0.2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75" x14ac:dyDescent="0.2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75" x14ac:dyDescent="0.2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75" x14ac:dyDescent="0.2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75" x14ac:dyDescent="0.2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75" x14ac:dyDescent="0.2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75" x14ac:dyDescent="0.2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75" x14ac:dyDescent="0.2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75" x14ac:dyDescent="0.2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75" x14ac:dyDescent="0.2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75" x14ac:dyDescent="0.2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75" x14ac:dyDescent="0.2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75" x14ac:dyDescent="0.2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75" x14ac:dyDescent="0.2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75" x14ac:dyDescent="0.2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75" x14ac:dyDescent="0.2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75" x14ac:dyDescent="0.2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75" x14ac:dyDescent="0.2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75" x14ac:dyDescent="0.2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75" x14ac:dyDescent="0.2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75" x14ac:dyDescent="0.25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75" x14ac:dyDescent="0.25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75" x14ac:dyDescent="0.25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75" x14ac:dyDescent="0.25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75" x14ac:dyDescent="0.2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75" x14ac:dyDescent="0.2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75" x14ac:dyDescent="0.2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75" x14ac:dyDescent="0.25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75" x14ac:dyDescent="0.25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25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25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75" x14ac:dyDescent="0.25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75" x14ac:dyDescent="0.25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75" x14ac:dyDescent="0.25">
      <c r="A188" s="3" t="s">
        <v>1652</v>
      </c>
      <c r="B188" s="3" t="s">
        <v>1235</v>
      </c>
      <c r="C188" s="3" t="s">
        <v>26</v>
      </c>
      <c r="D188" s="3" t="s">
        <v>29</v>
      </c>
      <c r="E188" s="3" t="s">
        <v>26</v>
      </c>
      <c r="F188" s="3" t="s">
        <v>395</v>
      </c>
      <c r="G188" s="4">
        <v>0.01</v>
      </c>
      <c r="H188" s="3" t="s">
        <v>1654</v>
      </c>
      <c r="I188" s="3" t="s">
        <v>1653</v>
      </c>
      <c r="J188" s="1"/>
      <c r="K188" s="1"/>
      <c r="L188" s="1"/>
      <c r="M188" s="1"/>
      <c r="N188" s="31"/>
      <c r="O188" s="1" t="s">
        <v>1450</v>
      </c>
    </row>
    <row r="189" spans="1:15" ht="15.75" x14ac:dyDescent="0.25">
      <c r="A189" s="1" t="s">
        <v>1681</v>
      </c>
      <c r="B189" s="3" t="s">
        <v>1682</v>
      </c>
      <c r="C189" s="3" t="s">
        <v>26</v>
      </c>
      <c r="D189" s="3" t="s">
        <v>29</v>
      </c>
      <c r="E189" s="3" t="s">
        <v>26</v>
      </c>
      <c r="F189" s="3" t="s">
        <v>714</v>
      </c>
      <c r="G189" s="4">
        <v>0.01</v>
      </c>
      <c r="H189" s="3" t="s">
        <v>1654</v>
      </c>
      <c r="I189" s="3" t="s">
        <v>1653</v>
      </c>
      <c r="J189" s="1"/>
      <c r="K189" s="1"/>
      <c r="L189" s="1"/>
      <c r="M189" s="1"/>
      <c r="N189" s="31"/>
      <c r="O189" s="1" t="s">
        <v>1450</v>
      </c>
    </row>
    <row r="190" spans="1:15" ht="15.75" x14ac:dyDescent="0.25">
      <c r="A190" s="3" t="s">
        <v>1689</v>
      </c>
      <c r="B190" s="3" t="s">
        <v>1690</v>
      </c>
      <c r="C190" s="3" t="s">
        <v>26</v>
      </c>
      <c r="D190" s="3" t="s">
        <v>29</v>
      </c>
      <c r="E190" s="3" t="s">
        <v>26</v>
      </c>
      <c r="F190" s="3" t="s">
        <v>1691</v>
      </c>
      <c r="G190" s="58">
        <v>0.05</v>
      </c>
      <c r="H190" s="3" t="s">
        <v>134</v>
      </c>
      <c r="I190" s="3" t="s">
        <v>32</v>
      </c>
      <c r="J190" s="1"/>
      <c r="K190" s="1"/>
      <c r="L190" s="1"/>
      <c r="M190" s="1"/>
      <c r="N190" s="31"/>
      <c r="O190" s="1" t="s">
        <v>1450</v>
      </c>
    </row>
    <row r="191" spans="1:15" ht="15.75" x14ac:dyDescent="0.25">
      <c r="A191" s="3" t="s">
        <v>1702</v>
      </c>
      <c r="B191" s="3" t="s">
        <v>1243</v>
      </c>
      <c r="C191" s="3" t="s">
        <v>26</v>
      </c>
      <c r="D191" s="3" t="s">
        <v>29</v>
      </c>
      <c r="E191" s="3" t="s">
        <v>26</v>
      </c>
      <c r="F191" s="3" t="s">
        <v>404</v>
      </c>
      <c r="G191" s="4">
        <v>0.01</v>
      </c>
      <c r="H191" s="3" t="s">
        <v>772</v>
      </c>
      <c r="I191" s="1" t="s">
        <v>771</v>
      </c>
      <c r="J191" s="1"/>
      <c r="K191" s="1"/>
      <c r="L191" s="1"/>
      <c r="M191" s="1"/>
      <c r="N191" s="31"/>
      <c r="O191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7109375" customWidth="1"/>
    <col min="6" max="6" width="20.7109375" customWidth="1"/>
    <col min="7" max="7" width="14.28515625" customWidth="1"/>
    <col min="8" max="8" width="13.140625" customWidth="1"/>
    <col min="9" max="10" width="13.28515625" customWidth="1"/>
    <col min="11" max="11" width="12.28515625" customWidth="1"/>
  </cols>
  <sheetData>
    <row r="1" spans="1:12" ht="15.75" x14ac:dyDescent="0.2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25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25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25">
      <c r="A4" t="s">
        <v>1600</v>
      </c>
      <c r="B4" t="s">
        <v>1601</v>
      </c>
      <c r="C4" t="s">
        <v>1600</v>
      </c>
      <c r="D4" s="2" t="s">
        <v>916</v>
      </c>
      <c r="E4" s="2" t="s">
        <v>915</v>
      </c>
      <c r="F4" s="2" t="s">
        <v>1603</v>
      </c>
      <c r="G4" t="s">
        <v>1602</v>
      </c>
      <c r="H4">
        <v>400</v>
      </c>
      <c r="I4" s="2" t="s">
        <v>1468</v>
      </c>
      <c r="K4" s="23" t="s">
        <v>1604</v>
      </c>
      <c r="L4" t="s">
        <v>1425</v>
      </c>
    </row>
    <row r="5" spans="1:12" x14ac:dyDescent="0.25">
      <c r="A5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K5" s="23" t="s">
        <v>1650</v>
      </c>
      <c r="L5" t="s">
        <v>1450</v>
      </c>
    </row>
    <row r="6" spans="1:12" x14ac:dyDescent="0.25">
      <c r="A6" t="s">
        <v>1683</v>
      </c>
      <c r="B6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1687</v>
      </c>
      <c r="K6" s="23" t="s">
        <v>1688</v>
      </c>
      <c r="L6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5" x14ac:dyDescent="0.25"/>
  <cols>
    <col min="1" max="1" width="15.42578125" bestFit="1" customWidth="1"/>
    <col min="2" max="2" width="23.28515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7109375" bestFit="1" customWidth="1"/>
    <col min="7" max="7" width="33.5703125" bestFit="1" customWidth="1"/>
    <col min="8" max="8" width="17.28515625" bestFit="1" customWidth="1"/>
    <col min="9" max="9" width="33.5703125" bestFit="1" customWidth="1"/>
    <col min="10" max="10" width="17.28515625" bestFit="1" customWidth="1"/>
    <col min="11" max="11" width="33.5703125" bestFit="1" customWidth="1"/>
    <col min="12" max="12" width="17.28515625" bestFit="1" customWidth="1"/>
    <col min="13" max="13" width="32.7109375" bestFit="1" customWidth="1"/>
    <col min="14" max="14" width="17.28515625" bestFit="1" customWidth="1"/>
    <col min="15" max="15" width="32.42578125" bestFit="1" customWidth="1"/>
    <col min="16" max="16" width="17.28515625" bestFit="1" customWidth="1"/>
    <col min="17" max="17" width="42.28515625" bestFit="1" customWidth="1"/>
    <col min="18" max="18" width="17.28515625" bestFit="1" customWidth="1"/>
    <col min="19" max="19" width="42.42578125" bestFit="1" customWidth="1"/>
    <col min="20" max="20" width="17.28515625" bestFit="1" customWidth="1"/>
    <col min="21" max="21" width="14.28515625" customWidth="1"/>
  </cols>
  <sheetData>
    <row r="1" spans="1:22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75" x14ac:dyDescent="0.25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5" x14ac:dyDescent="0.25"/>
  <cols>
    <col min="1" max="1" width="32" bestFit="1" customWidth="1"/>
    <col min="2" max="2" width="53.7109375" customWidth="1"/>
    <col min="3" max="3" width="11.7109375" customWidth="1"/>
    <col min="4" max="4" width="29.5703125" customWidth="1"/>
    <col min="5" max="5" width="25.28515625" customWidth="1"/>
    <col min="6" max="6" width="14.42578125" customWidth="1"/>
    <col min="7" max="7" width="9.7109375" customWidth="1"/>
    <col min="8" max="8" width="12.5703125" style="2" customWidth="1"/>
    <col min="9" max="9" width="14.42578125" customWidth="1"/>
    <col min="10" max="10" width="12" customWidth="1"/>
    <col min="11" max="11" width="25.7109375" customWidth="1"/>
    <col min="12" max="12" width="15.5703125" customWidth="1"/>
    <col min="13" max="13" width="14.7109375" customWidth="1"/>
    <col min="14" max="14" width="12.28515625" customWidth="1"/>
  </cols>
  <sheetData>
    <row r="1" spans="1:14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25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25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25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25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25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25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25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25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25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25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25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25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25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25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25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25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25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25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25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25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25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25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25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25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25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25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25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25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25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25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25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25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25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25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25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25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25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25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25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25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25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25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25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25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25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25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2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25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25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25">
      <c r="A51" s="2" t="s">
        <v>1593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2" t="s">
        <v>1596</v>
      </c>
      <c r="M51" s="2" t="s">
        <v>1597</v>
      </c>
      <c r="N51" s="2" t="s">
        <v>1425</v>
      </c>
    </row>
    <row r="52" spans="1:14" x14ac:dyDescent="0.25">
      <c r="A52" s="2" t="s">
        <v>1592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2" t="s">
        <v>1599</v>
      </c>
      <c r="M52" s="2" t="s">
        <v>1417</v>
      </c>
      <c r="N52" s="2" t="s">
        <v>1425</v>
      </c>
    </row>
    <row r="53" spans="1:14" x14ac:dyDescent="0.25">
      <c r="A53" s="2" t="s">
        <v>1655</v>
      </c>
      <c r="B53" s="36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562</v>
      </c>
      <c r="G53" s="37" t="s">
        <v>1412</v>
      </c>
      <c r="H53" s="2">
        <v>50</v>
      </c>
      <c r="I53" s="2" t="s">
        <v>1414</v>
      </c>
      <c r="J53" s="2" t="s">
        <v>599</v>
      </c>
      <c r="K53" s="2" t="s">
        <v>37</v>
      </c>
      <c r="L53" s="2">
        <v>1</v>
      </c>
      <c r="M53" s="2"/>
      <c r="N53" s="2" t="s">
        <v>1450</v>
      </c>
    </row>
    <row r="54" spans="1:14" x14ac:dyDescent="0.25">
      <c r="A54" s="2" t="s">
        <v>1656</v>
      </c>
      <c r="B54" s="36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568</v>
      </c>
      <c r="G54" s="37" t="s">
        <v>1412</v>
      </c>
      <c r="H54" s="2">
        <v>50</v>
      </c>
      <c r="I54" s="2" t="s">
        <v>1414</v>
      </c>
      <c r="J54" s="2" t="s">
        <v>599</v>
      </c>
      <c r="K54" s="2" t="s">
        <v>37</v>
      </c>
      <c r="L54" s="2" t="s">
        <v>374</v>
      </c>
      <c r="M54" s="2"/>
      <c r="N54" s="2" t="s">
        <v>1450</v>
      </c>
    </row>
    <row r="55" spans="1:14" x14ac:dyDescent="0.25">
      <c r="A55" s="2" t="s">
        <v>1660</v>
      </c>
      <c r="B55" s="36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631</v>
      </c>
      <c r="G55" s="37" t="s">
        <v>1193</v>
      </c>
      <c r="H55" s="2" t="s">
        <v>379</v>
      </c>
      <c r="I55" s="2" t="s">
        <v>598</v>
      </c>
      <c r="J55" s="2" t="s">
        <v>681</v>
      </c>
      <c r="K55" s="2" t="s">
        <v>37</v>
      </c>
      <c r="L55" s="2">
        <v>10000</v>
      </c>
      <c r="M55" s="54" t="s">
        <v>1661</v>
      </c>
      <c r="N55" s="2" t="s">
        <v>1450</v>
      </c>
    </row>
    <row r="56" spans="1:14" x14ac:dyDescent="0.25">
      <c r="A56" s="2" t="s">
        <v>1662</v>
      </c>
      <c r="B56" s="36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1663</v>
      </c>
      <c r="G56" s="37" t="s">
        <v>1412</v>
      </c>
      <c r="H56" s="2">
        <v>50</v>
      </c>
      <c r="I56" s="2" t="s">
        <v>1414</v>
      </c>
      <c r="J56" s="2" t="s">
        <v>599</v>
      </c>
      <c r="K56" s="2" t="s">
        <v>37</v>
      </c>
      <c r="L56" s="2" t="s">
        <v>1664</v>
      </c>
      <c r="M56" s="2"/>
      <c r="N56" s="2" t="s">
        <v>1450</v>
      </c>
    </row>
    <row r="57" spans="1:14" x14ac:dyDescent="0.25">
      <c r="A57" s="2" t="s">
        <v>1679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1175</v>
      </c>
      <c r="G57" s="37" t="s">
        <v>1412</v>
      </c>
      <c r="H57" s="2" t="s">
        <v>1680</v>
      </c>
      <c r="I57" s="2" t="s">
        <v>1414</v>
      </c>
      <c r="J57" s="2" t="s">
        <v>599</v>
      </c>
      <c r="K57" s="2" t="s">
        <v>680</v>
      </c>
      <c r="L57" s="2" t="s">
        <v>1176</v>
      </c>
      <c r="M57" s="2"/>
      <c r="N57" s="2" t="s">
        <v>1450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5" x14ac:dyDescent="0.25"/>
  <cols>
    <col min="1" max="1" width="27.5703125" bestFit="1" customWidth="1"/>
    <col min="2" max="2" width="23.28515625" bestFit="1" customWidth="1"/>
    <col min="3" max="3" width="12.28515625" bestFit="1" customWidth="1"/>
    <col min="4" max="4" width="29.42578125" bestFit="1" customWidth="1"/>
    <col min="5" max="5" width="14.28515625" bestFit="1" customWidth="1"/>
    <col min="6" max="6" width="8.28515625" bestFit="1" customWidth="1"/>
    <col min="7" max="7" width="12.28515625" bestFit="1" customWidth="1"/>
    <col min="8" max="8" width="13" bestFit="1" customWidth="1"/>
    <col min="9" max="9" width="8.7109375" bestFit="1" customWidth="1"/>
    <col min="10" max="10" width="30.28515625" bestFit="1" customWidth="1"/>
    <col min="11" max="11" width="16.7109375" bestFit="1" customWidth="1"/>
    <col min="12" max="12" width="14.7109375" bestFit="1" customWidth="1"/>
    <col min="13" max="13" width="19.28515625" customWidth="1"/>
    <col min="14" max="14" width="18.42578125" customWidth="1"/>
    <col min="15" max="15" width="13.28515625" customWidth="1"/>
  </cols>
  <sheetData>
    <row r="1" spans="1:16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25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25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25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25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25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25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25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25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25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25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25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25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25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25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25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25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25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25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25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25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25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25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25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25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25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25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25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  <row r="29" spans="1:16" x14ac:dyDescent="0.25">
      <c r="A29" t="s">
        <v>1703</v>
      </c>
      <c r="B29" t="s">
        <v>1704</v>
      </c>
      <c r="C29" t="s">
        <v>27</v>
      </c>
      <c r="D29" t="s">
        <v>626</v>
      </c>
      <c r="E29" t="s">
        <v>39</v>
      </c>
      <c r="F29" t="s">
        <v>1705</v>
      </c>
      <c r="G29">
        <v>20</v>
      </c>
      <c r="H29">
        <v>35</v>
      </c>
      <c r="I29" t="s">
        <v>897</v>
      </c>
      <c r="J29" t="s">
        <v>1706</v>
      </c>
      <c r="K29" t="s">
        <v>1707</v>
      </c>
      <c r="L29">
        <v>120</v>
      </c>
      <c r="O29" s="38" t="s">
        <v>1708</v>
      </c>
      <c r="P29" t="s">
        <v>1450</v>
      </c>
    </row>
    <row r="30" spans="1:16" x14ac:dyDescent="0.25">
      <c r="A30" t="s">
        <v>1709</v>
      </c>
      <c r="B30" t="s">
        <v>1710</v>
      </c>
      <c r="C30" t="s">
        <v>27</v>
      </c>
      <c r="D30" t="s">
        <v>626</v>
      </c>
      <c r="E30" t="s">
        <v>39</v>
      </c>
      <c r="F30" t="s">
        <v>636</v>
      </c>
      <c r="G30">
        <v>20</v>
      </c>
      <c r="H30">
        <v>50</v>
      </c>
      <c r="I30" t="s">
        <v>897</v>
      </c>
      <c r="J30" t="s">
        <v>1706</v>
      </c>
      <c r="K30" t="s">
        <v>1707</v>
      </c>
      <c r="L30">
        <v>68</v>
      </c>
      <c r="O30" s="38" t="s">
        <v>1711</v>
      </c>
      <c r="P30" t="s">
        <v>1450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0"/>
  <sheetViews>
    <sheetView topLeftCell="D11" zoomScale="85" zoomScaleNormal="85" workbookViewId="0">
      <selection activeCell="P31" sqref="P31"/>
    </sheetView>
  </sheetViews>
  <sheetFormatPr defaultRowHeight="15" x14ac:dyDescent="0.25"/>
  <cols>
    <col min="1" max="1" width="14.7109375" customWidth="1"/>
    <col min="2" max="2" width="77.7109375" customWidth="1"/>
    <col min="3" max="3" width="12" customWidth="1"/>
    <col min="4" max="4" width="27.28515625" customWidth="1"/>
    <col min="5" max="5" width="12.7109375" customWidth="1"/>
    <col min="6" max="6" width="36.28515625" customWidth="1"/>
    <col min="7" max="7" width="16.7109375" customWidth="1"/>
    <col min="8" max="8" width="18.28515625" customWidth="1"/>
    <col min="9" max="9" width="16.7109375" customWidth="1"/>
    <col min="10" max="10" width="18.28515625" customWidth="1"/>
    <col min="11" max="11" width="16.7109375" customWidth="1"/>
    <col min="12" max="12" width="18.28515625" customWidth="1"/>
    <col min="13" max="13" width="16.7109375" customWidth="1"/>
    <col min="14" max="14" width="18" style="18" bestFit="1" customWidth="1"/>
    <col min="15" max="15" width="13.5703125" bestFit="1" customWidth="1"/>
    <col min="16" max="16" width="8.5703125" bestFit="1" customWidth="1"/>
    <col min="17" max="17" width="12.28515625" customWidth="1"/>
  </cols>
  <sheetData>
    <row r="1" spans="1:18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2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2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25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25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25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25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25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25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25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25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25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25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25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2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2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2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2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2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2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25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25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25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25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25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25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25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25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8" t="s">
        <v>1642</v>
      </c>
      <c r="R28" t="s">
        <v>1450</v>
      </c>
    </row>
    <row r="29" spans="1:18" x14ac:dyDescent="0.25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8" t="s">
        <v>1642</v>
      </c>
      <c r="R29" t="s">
        <v>1450</v>
      </c>
    </row>
    <row r="30" spans="1:18" x14ac:dyDescent="0.25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8" t="s">
        <v>1669</v>
      </c>
      <c r="R30" t="s">
        <v>1450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28515625" customWidth="1"/>
    <col min="5" max="5" width="20.5703125" customWidth="1"/>
    <col min="6" max="6" width="21.7109375" customWidth="1"/>
    <col min="7" max="7" width="17.7109375" customWidth="1"/>
    <col min="8" max="8" width="22.7109375" customWidth="1"/>
    <col min="9" max="9" width="18.42578125" customWidth="1"/>
    <col min="10" max="10" width="16.7109375" customWidth="1"/>
    <col min="11" max="11" width="12.42578125" customWidth="1"/>
    <col min="12" max="12" width="13.28515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75" x14ac:dyDescent="0.25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2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5" x14ac:dyDescent="0.25"/>
  <cols>
    <col min="1" max="1" width="14.7109375" customWidth="1"/>
    <col min="2" max="2" width="120" bestFit="1" customWidth="1"/>
    <col min="3" max="3" width="20" customWidth="1"/>
    <col min="4" max="4" width="35.28515625" customWidth="1"/>
    <col min="5" max="5" width="14.42578125" customWidth="1"/>
    <col min="6" max="6" width="36.7109375" customWidth="1"/>
    <col min="7" max="7" width="16.7109375" customWidth="1"/>
    <col min="8" max="8" width="20.7109375" customWidth="1"/>
    <col min="9" max="9" width="16.7109375" customWidth="1"/>
    <col min="10" max="10" width="31.28515625" bestFit="1" customWidth="1"/>
    <col min="11" max="11" width="17.42578125" bestFit="1" customWidth="1"/>
    <col min="12" max="12" width="22.42578125" customWidth="1"/>
    <col min="13" max="13" width="17.85546875" customWidth="1"/>
    <col min="15" max="15" width="11.710937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954</v>
      </c>
      <c r="P1" s="49" t="s">
        <v>1424</v>
      </c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2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P6" t="s">
        <v>1425</v>
      </c>
    </row>
    <row r="7" spans="1:20" x14ac:dyDescent="0.25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1425</v>
      </c>
    </row>
    <row r="8" spans="1:20" x14ac:dyDescent="0.25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1425</v>
      </c>
    </row>
    <row r="9" spans="1:20" x14ac:dyDescent="0.25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P9" t="s">
        <v>1425</v>
      </c>
    </row>
    <row r="10" spans="1:20" x14ac:dyDescent="0.25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P10" t="s">
        <v>1425</v>
      </c>
    </row>
    <row r="11" spans="1:20" x14ac:dyDescent="0.25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P11" t="s">
        <v>1425</v>
      </c>
    </row>
    <row r="12" spans="1:20" x14ac:dyDescent="0.25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P12" t="s">
        <v>1425</v>
      </c>
    </row>
    <row r="13" spans="1:20" x14ac:dyDescent="0.25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O13" s="23" t="s">
        <v>986</v>
      </c>
      <c r="P13" t="s">
        <v>1425</v>
      </c>
    </row>
    <row r="14" spans="1:20" x14ac:dyDescent="0.25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1425</v>
      </c>
    </row>
    <row r="15" spans="1:20" x14ac:dyDescent="0.2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1425</v>
      </c>
    </row>
    <row r="16" spans="1:20" x14ac:dyDescent="0.2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2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25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1406</v>
      </c>
      <c r="O18" t="s">
        <v>1407</v>
      </c>
      <c r="P18" t="s">
        <v>1425</v>
      </c>
    </row>
    <row r="19" spans="1:16" x14ac:dyDescent="0.25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O19" t="s">
        <v>1449</v>
      </c>
      <c r="P19" t="s">
        <v>1450</v>
      </c>
    </row>
    <row r="20" spans="1:16" x14ac:dyDescent="0.25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O20" s="23" t="s">
        <v>986</v>
      </c>
      <c r="P20" t="s">
        <v>1450</v>
      </c>
    </row>
    <row r="21" spans="1:16" x14ac:dyDescent="0.25">
      <c r="A21" t="s">
        <v>1533</v>
      </c>
      <c r="B21" t="s">
        <v>1534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1535</v>
      </c>
      <c r="L21" s="2" t="str">
        <f t="shared" si="0"/>
        <v>Footprints\.PcbLib</v>
      </c>
      <c r="N21" t="s">
        <v>1548</v>
      </c>
      <c r="P21" t="s">
        <v>1425</v>
      </c>
    </row>
    <row r="22" spans="1:16" x14ac:dyDescent="0.25">
      <c r="A22" t="s">
        <v>1536</v>
      </c>
      <c r="B22" t="s">
        <v>1539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1542</v>
      </c>
      <c r="L22" s="2" t="str">
        <f t="shared" si="0"/>
        <v>Footprints\.PcbLib</v>
      </c>
      <c r="N22" t="s">
        <v>1549</v>
      </c>
      <c r="P22" t="s">
        <v>1425</v>
      </c>
    </row>
    <row r="23" spans="1:16" x14ac:dyDescent="0.25">
      <c r="A23" t="s">
        <v>1537</v>
      </c>
      <c r="B23" t="s">
        <v>1540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1543</v>
      </c>
      <c r="L23" s="2" t="str">
        <f t="shared" si="0"/>
        <v>Footprints\.PcbLib</v>
      </c>
      <c r="N23" t="s">
        <v>1550</v>
      </c>
      <c r="P23" t="s">
        <v>1425</v>
      </c>
    </row>
    <row r="24" spans="1:16" x14ac:dyDescent="0.25">
      <c r="A24" t="s">
        <v>1538</v>
      </c>
      <c r="B24" t="s">
        <v>1541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1544</v>
      </c>
      <c r="L24" s="2" t="str">
        <f t="shared" si="0"/>
        <v>Footprints\.PcbLib</v>
      </c>
      <c r="N24" t="s">
        <v>1551</v>
      </c>
      <c r="P24" t="s">
        <v>1425</v>
      </c>
    </row>
    <row r="25" spans="1:16" x14ac:dyDescent="0.25">
      <c r="A25" s="53" t="s">
        <v>1545</v>
      </c>
      <c r="B25" t="s">
        <v>1552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1546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1547</v>
      </c>
      <c r="P25" t="s">
        <v>1425</v>
      </c>
    </row>
    <row r="26" spans="1:16" x14ac:dyDescent="0.25">
      <c r="A26" t="s">
        <v>1692</v>
      </c>
      <c r="B26" t="s">
        <v>1693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134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1694</v>
      </c>
    </row>
    <row r="27" spans="1:16" x14ac:dyDescent="0.25">
      <c r="A27" t="s">
        <v>1728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1728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1729</v>
      </c>
      <c r="P27" t="s">
        <v>1714</v>
      </c>
    </row>
    <row r="28" spans="1:16" x14ac:dyDescent="0.25">
      <c r="A28" t="s">
        <v>1730</v>
      </c>
      <c r="B28" t="s">
        <v>1731</v>
      </c>
      <c r="C28" t="str">
        <f t="shared" si="10"/>
        <v>L-KLS5-CR2032-03</v>
      </c>
      <c r="D28" t="s">
        <v>1012</v>
      </c>
      <c r="E28" t="s">
        <v>1013</v>
      </c>
      <c r="F28" t="str">
        <f t="shared" ref="F28" si="13">CONCATENATE("Footprints\",G28,".PcbLib")</f>
        <v>Footprints\L-KLS5-CR2032-03.PcbLib</v>
      </c>
      <c r="G28" t="s">
        <v>1730</v>
      </c>
      <c r="J28" t="str">
        <f t="shared" si="11"/>
        <v>Footprints\.PcbLib</v>
      </c>
      <c r="L28" s="2" t="str">
        <f t="shared" si="12"/>
        <v>Footprints\.PcbLib</v>
      </c>
      <c r="O28" t="s">
        <v>1732</v>
      </c>
      <c r="P28" t="s">
        <v>1714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N71"/>
  <sheetViews>
    <sheetView topLeftCell="A46" zoomScale="73" zoomScaleNormal="46" workbookViewId="0">
      <selection activeCell="B72" sqref="B72"/>
    </sheetView>
  </sheetViews>
  <sheetFormatPr defaultRowHeight="15" x14ac:dyDescent="0.25"/>
  <cols>
    <col min="1" max="1" width="14.7109375" customWidth="1"/>
    <col min="2" max="2" width="225.140625" bestFit="1" customWidth="1"/>
    <col min="3" max="3" width="38.42578125" bestFit="1" customWidth="1"/>
    <col min="4" max="4" width="45.7109375" customWidth="1"/>
    <col min="5" max="5" width="17.28515625" customWidth="1"/>
    <col min="6" max="6" width="51" customWidth="1"/>
    <col min="7" max="7" width="16.7109375" customWidth="1"/>
    <col min="8" max="8" width="44.42578125" customWidth="1"/>
    <col min="9" max="9" width="23.7109375" customWidth="1"/>
    <col min="10" max="10" width="28.7109375" customWidth="1"/>
    <col min="11" max="11" width="11.7109375" customWidth="1"/>
  </cols>
  <sheetData>
    <row r="1" spans="1:14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  <c r="M1" s="1" t="s">
        <v>1768</v>
      </c>
      <c r="N1" s="1" t="s">
        <v>1769</v>
      </c>
    </row>
    <row r="2" spans="1:14" x14ac:dyDescent="0.2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4" x14ac:dyDescent="0.2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4" x14ac:dyDescent="0.25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4" x14ac:dyDescent="0.2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4" x14ac:dyDescent="0.2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4" x14ac:dyDescent="0.25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4" x14ac:dyDescent="0.2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4" x14ac:dyDescent="0.25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4" x14ac:dyDescent="0.2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4" x14ac:dyDescent="0.2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4" x14ac:dyDescent="0.2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4" x14ac:dyDescent="0.25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4" x14ac:dyDescent="0.25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4" x14ac:dyDescent="0.25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4" x14ac:dyDescent="0.25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25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25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25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25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25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25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25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25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25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25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25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25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25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25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25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25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2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2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2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2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2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2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2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25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2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2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2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2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2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2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2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2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25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2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2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2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2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2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25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25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2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2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25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25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25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25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25">
      <c r="A63" t="s">
        <v>1555</v>
      </c>
      <c r="B63" t="s">
        <v>1558</v>
      </c>
      <c r="C63" s="2" t="s">
        <v>1555</v>
      </c>
      <c r="D63" s="34" t="s">
        <v>1554</v>
      </c>
      <c r="E63" t="s">
        <v>1555</v>
      </c>
      <c r="F63" s="3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25">
      <c r="A64" t="s">
        <v>1560</v>
      </c>
      <c r="B64" t="s">
        <v>1559</v>
      </c>
      <c r="C64">
        <v>467650001</v>
      </c>
      <c r="D64" s="34" t="s">
        <v>1561</v>
      </c>
      <c r="E64">
        <v>467650001</v>
      </c>
      <c r="F64" s="3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25">
      <c r="A65" t="s">
        <v>1568</v>
      </c>
      <c r="B65" t="s">
        <v>1569</v>
      </c>
      <c r="C65" s="2" t="s">
        <v>1568</v>
      </c>
      <c r="D65" s="34" t="s">
        <v>1566</v>
      </c>
      <c r="E65" t="s">
        <v>1564</v>
      </c>
      <c r="F65" s="3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25">
      <c r="A66" t="s">
        <v>1571</v>
      </c>
      <c r="B66" t="s">
        <v>1575</v>
      </c>
      <c r="C66" s="2" t="s">
        <v>1571</v>
      </c>
      <c r="D66" s="34" t="s">
        <v>1572</v>
      </c>
      <c r="E66" t="s">
        <v>1571</v>
      </c>
      <c r="F66" s="3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25">
      <c r="A67" t="s">
        <v>1589</v>
      </c>
      <c r="B67" t="s">
        <v>1590</v>
      </c>
      <c r="C67" s="2" t="s">
        <v>1589</v>
      </c>
      <c r="D67" t="str">
        <f t="shared" ref="D67:D69" si="11">CONCATENATE("Schematic\Connectors\", E67, ".SchLib")</f>
        <v>Schematic\Connectors\Conn_4pin_sh.SchLib</v>
      </c>
      <c r="E67" t="s">
        <v>1588</v>
      </c>
      <c r="F67" t="str">
        <f t="shared" ref="F67:F69" si="12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25">
      <c r="A68" t="s">
        <v>1733</v>
      </c>
      <c r="B68" t="s">
        <v>1734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1735</v>
      </c>
      <c r="J68" t="s">
        <v>1736</v>
      </c>
      <c r="K68" s="41" t="s">
        <v>978</v>
      </c>
      <c r="L68" t="s">
        <v>1714</v>
      </c>
    </row>
    <row r="69" spans="1:12" x14ac:dyDescent="0.25">
      <c r="A69" t="s">
        <v>1737</v>
      </c>
      <c r="B69" t="s">
        <v>1738</v>
      </c>
      <c r="C69" t="s">
        <v>1737</v>
      </c>
      <c r="D69" t="str">
        <f t="shared" si="11"/>
        <v>Schematic\Connectors\Conn_64pin.SchLib</v>
      </c>
      <c r="E69" t="s">
        <v>1741</v>
      </c>
      <c r="F69" t="str">
        <f t="shared" si="12"/>
        <v>Footprints\Connectors\AMPHENOL_10018783-11111TLF.PcbLib</v>
      </c>
      <c r="G69" t="s">
        <v>1740</v>
      </c>
      <c r="J69" t="s">
        <v>1739</v>
      </c>
      <c r="K69" t="s">
        <v>1425</v>
      </c>
      <c r="L69" t="s">
        <v>1425</v>
      </c>
    </row>
    <row r="70" spans="1:12" x14ac:dyDescent="0.25">
      <c r="A70" s="60" t="s">
        <v>1758</v>
      </c>
      <c r="B70" t="s">
        <v>1759</v>
      </c>
      <c r="C70" s="2" t="str">
        <f>A70</f>
        <v>Picoblade_532610371</v>
      </c>
      <c r="D70" t="str">
        <f>CONCATENATE("Schematic\Connectors\",A70,".SchLib")</f>
        <v>Schematic\Connectors\Picoblade_532610371.SchLib</v>
      </c>
      <c r="E70" s="60" t="s">
        <v>1760</v>
      </c>
      <c r="F70" t="str">
        <f>CONCATENATE("Footprints\Connectors\",G70,".PcbLib")</f>
        <v>Footprints\Connectors\CONN_532610001-SD_03_MOL.PcbLib</v>
      </c>
      <c r="G70" t="s">
        <v>1761</v>
      </c>
      <c r="J70" t="s">
        <v>1762</v>
      </c>
      <c r="K70" s="40" t="s">
        <v>978</v>
      </c>
      <c r="L70" t="s">
        <v>1750</v>
      </c>
    </row>
    <row r="71" spans="1:12" x14ac:dyDescent="0.25">
      <c r="A71" t="s">
        <v>1763</v>
      </c>
      <c r="B71" t="s">
        <v>1764</v>
      </c>
      <c r="C71" t="s">
        <v>1763</v>
      </c>
      <c r="D71" t="str">
        <f>CONCATENATE("Schematic\Connectors\", A71, ".SchLib")</f>
        <v>Schematic\Connectors\PicoBlade_53398-0471.SchLib</v>
      </c>
      <c r="E71" t="s">
        <v>1765</v>
      </c>
      <c r="F71" t="str">
        <f>CONCATENATE("Footprints\Connectors\",G71,".PcbLib")</f>
        <v>Footprints\Connectors\53398-0471.PcbLib</v>
      </c>
      <c r="G71" t="s">
        <v>1766</v>
      </c>
      <c r="J71" s="38" t="s">
        <v>1767</v>
      </c>
      <c r="K71" s="40" t="s">
        <v>978</v>
      </c>
      <c r="L71" t="s">
        <v>1750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2026-10-26T17:02:43Z</dcterms:modified>
</cp:coreProperties>
</file>
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9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9.xml" ContentType="application/vnd.openxmlformats-officedocument.spreadsheetml.table+xml"/>
  <Override PartName="/xl/tables/table11.xml" ContentType="application/vnd.openxmlformats-officedocument.spreadsheetml.table+xml"/>
  <Override PartName="/xl/tables/table4.xml" ContentType="application/vnd.openxmlformats-officedocument.spreadsheetml.table+xml"/>
  <Override PartName="/xl/tables/table12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hips" sheetId="1" state="visible" r:id="rId4"/>
    <sheet name="Schottky" sheetId="2" state="visible" r:id="rId5"/>
    <sheet name="Zener" sheetId="3" state="visible" r:id="rId6"/>
    <sheet name="TVS" sheetId="4" state="visible" r:id="rId7"/>
    <sheet name="Transistors" sheetId="5" state="visible" r:id="rId8"/>
    <sheet name="Resistors" sheetId="6" state="visible" r:id="rId9"/>
    <sheet name="Rectifier_diodes" sheetId="7" state="visible" r:id="rId10"/>
    <sheet name="Capacitors" sheetId="8" state="visible" r:id="rId11"/>
    <sheet name="Capacitors_ceramic" sheetId="9" state="visible" r:id="rId12"/>
    <sheet name="Capacitors_electrolytic" sheetId="10" state="visible" r:id="rId13"/>
    <sheet name="Inductance" sheetId="11" state="visible" r:id="rId14"/>
    <sheet name="Thyristors" sheetId="12" state="visible" r:id="rId15"/>
    <sheet name="Other" sheetId="13" state="visible" r:id="rId16"/>
    <sheet name="Connectors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<sst xmlns="http://schemas.openxmlformats.org/spreadsheetml/2006/main" count="4267" uniqueCount="1781">
  <si>
    <t xml:space="preserve">Part Number</t>
  </si>
  <si>
    <t xml:space="preserve">Description</t>
  </si>
  <si>
    <t xml:space="preserve">Comment</t>
  </si>
  <si>
    <t xml:space="preserve">Library Path</t>
  </si>
  <si>
    <t xml:space="preserve">Library Ref</t>
  </si>
  <si>
    <t xml:space="preserve">Footprint Path 1</t>
  </si>
  <si>
    <t xml:space="preserve">Footprint Ref 1</t>
  </si>
  <si>
    <t xml:space="preserve">Footprint Path 2</t>
  </si>
  <si>
    <t xml:space="preserve">Footprint Ref 2</t>
  </si>
  <si>
    <t xml:space="preserve">Footprint Path 3</t>
  </si>
  <si>
    <t xml:space="preserve">Footprint Ref 3</t>
  </si>
  <si>
    <t xml:space="preserve">Datasheet</t>
  </si>
  <si>
    <t xml:space="preserve">Автор</t>
  </si>
  <si>
    <t xml:space="preserve">STM32F407VGT6</t>
  </si>
  <si>
    <t xml:space="preserve">Микроконтроллер</t>
  </si>
  <si>
    <t xml:space="preserve">LQFP100</t>
  </si>
  <si>
    <t xml:space="preserve">USBLC6-4</t>
  </si>
  <si>
    <t xml:space="preserve">Сборка защитных диодов для USB</t>
  </si>
  <si>
    <t xml:space="preserve">SOT23-6</t>
  </si>
  <si>
    <t xml:space="preserve">MAX485CSA</t>
  </si>
  <si>
    <t xml:space="preserve">RS-485 приёмопередатчик</t>
  </si>
  <si>
    <t xml:space="preserve">SOIC-8</t>
  </si>
  <si>
    <t xml:space="preserve">STM32F103C8T6</t>
  </si>
  <si>
    <t xml:space="preserve">LQFP48</t>
  </si>
  <si>
    <t xml:space="preserve">LM2594HVM-ADJ</t>
  </si>
  <si>
    <t xml:space="preserve">DC-DC преобразователь</t>
  </si>
  <si>
    <t xml:space="preserve">LD1117S33CTR</t>
  </si>
  <si>
    <t xml:space="preserve">Линейный стабилизатор напряжения</t>
  </si>
  <si>
    <t xml:space="preserve">SOT223</t>
  </si>
  <si>
    <t xml:space="preserve">CD4050B</t>
  </si>
  <si>
    <t xml:space="preserve">Шесть буферных элементов</t>
  </si>
  <si>
    <t xml:space="preserve">SOIC-16</t>
  </si>
  <si>
    <t xml:space="preserve">Footprints\DIP16.PcbLib</t>
  </si>
  <si>
    <t xml:space="preserve">DIP16_in_socket</t>
  </si>
  <si>
    <t xml:space="preserve">DIP16_in_socket_SMD</t>
  </si>
  <si>
    <t xml:space="preserve">rreali</t>
  </si>
  <si>
    <t xml:space="preserve">ADM2483BRWZ</t>
  </si>
  <si>
    <t xml:space="preserve">Прием передатчик RS485 с гальванической развязкой</t>
  </si>
  <si>
    <t xml:space="preserve">SOIC-16W</t>
  </si>
  <si>
    <t xml:space="preserve">LD1117S50CTR</t>
  </si>
  <si>
    <t xml:space="preserve">VND5025</t>
  </si>
  <si>
    <t xml:space="preserve">Double channel high side driver with analog current sense for automotive applications</t>
  </si>
  <si>
    <t xml:space="preserve">POWERSSO24</t>
  </si>
  <si>
    <t xml:space="preserve">SN74LVC1G17DCKR</t>
  </si>
  <si>
    <t xml:space="preserve">Одиночный триггер Шмитта 5-SC70 -40 to 125, буфер</t>
  </si>
  <si>
    <t xml:space="preserve">SC-70-5</t>
  </si>
  <si>
    <t xml:space="preserve">74LVC1G74DP,125</t>
  </si>
  <si>
    <t xml:space="preserve">Одиночный D триггер</t>
  </si>
  <si>
    <t xml:space="preserve">TSSOP-8</t>
  </si>
  <si>
    <t xml:space="preserve">RT8279GSP</t>
  </si>
  <si>
    <t xml:space="preserve">Преобразователь постоянного тока понижающий подстраиваемый выход 5А НЕ РЕКОМЕНДОВАНО ДЛЯ НОВЫХ ДИЗАЙНОВ</t>
  </si>
  <si>
    <t xml:space="preserve">8SOP(Exposed_Pad)</t>
  </si>
  <si>
    <t xml:space="preserve">TP4056</t>
  </si>
  <si>
    <t xml:space="preserve">TP4056, Контроллер заряда Li-Ion аккумуляторов, 1А, UMW</t>
  </si>
  <si>
    <t xml:space="preserve">LM2623AMMX</t>
  </si>
  <si>
    <t xml:space="preserve">Повышающий DC-DC преобразователь 2A</t>
  </si>
  <si>
    <t xml:space="preserve">VSSOP-8</t>
  </si>
  <si>
    <t xml:space="preserve">DW01</t>
  </si>
  <si>
    <t xml:space="preserve">Защита одной ячейки Li-Ion/polimer</t>
  </si>
  <si>
    <t xml:space="preserve">arduino_nano</t>
  </si>
  <si>
    <t xml:space="preserve">ардуинка на стойках</t>
  </si>
  <si>
    <t xml:space="preserve">TPS61088</t>
  </si>
  <si>
    <t xml:space="preserve">Преобразователь постоянного тока повышающий синхронный вход 2.7В...12В выход 4.5В...12.6В 10A</t>
  </si>
  <si>
    <t xml:space="preserve">VQFN-RHL</t>
  </si>
  <si>
    <t xml:space="preserve">RT8509A</t>
  </si>
  <si>
    <t xml:space="preserve">Импульсный повышающий DC-DC стабилизатор, регулируемый, 2.8В-14В (Vin), 24В/4.5A, 1.5МГц, WDFN-12</t>
  </si>
  <si>
    <t xml:space="preserve">WDFN5x5-12</t>
  </si>
  <si>
    <t xml:space="preserve">VN7140AS</t>
  </si>
  <si>
    <t xml:space="preserve">Силовой ключ верхнего плеча с аналоговой обратной связью MultiSense автомобильного применения</t>
  </si>
  <si>
    <t xml:space="preserve">SOP8</t>
  </si>
  <si>
    <t xml:space="preserve">74HC4051PW,118</t>
  </si>
  <si>
    <t xml:space="preserve">Мультиплексор аналоговый 8 в 1 КМОП кристалл, TSSOP16</t>
  </si>
  <si>
    <t xml:space="preserve">TSSOP-16</t>
  </si>
  <si>
    <t xml:space="preserve">sim800l</t>
  </si>
  <si>
    <t xml:space="preserve">Четырехдиапазонный GSM/GPRS модуль, частоты: GSM 850 МГц, EGSM 900 МГц, DCS 1800 МГц и PCS 1900 МГц.</t>
  </si>
  <si>
    <t xml:space="preserve">74HC139D,653</t>
  </si>
  <si>
    <t xml:space="preserve">Два декодера (демультиплексора) 2 в 4 (1 в 4), вход и выходы с инверсией</t>
  </si>
  <si>
    <t xml:space="preserve">CD4555BM</t>
  </si>
  <si>
    <t xml:space="preserve">Два декодера (демультиплексора) 2 в 4 (1 в 4), вход с инверсией, выходы без</t>
  </si>
  <si>
    <t xml:space="preserve">MC74HC595ADR2G</t>
  </si>
  <si>
    <t xml:space="preserve">8-ми битный сдвиговый регистр</t>
  </si>
  <si>
    <t xml:space="preserve">Schematic\MC74HC595ADR2G.SchLib</t>
  </si>
  <si>
    <t xml:space="preserve">Footprints\SOIC-16.PcbLib</t>
  </si>
  <si>
    <t xml:space="preserve">MT3608</t>
  </si>
  <si>
    <t xml:space="preserve">Повышающий/SEPIC DC-DC преобразователь 2А 1.2МГц</t>
  </si>
  <si>
    <t xml:space="preserve">CD4013BE</t>
  </si>
  <si>
    <t xml:space="preserve">Два триггера D-типа</t>
  </si>
  <si>
    <t xml:space="preserve">Footprints\DIP14.PcbLib</t>
  </si>
  <si>
    <t xml:space="preserve">DIP14_IN_SOCKET</t>
  </si>
  <si>
    <t xml:space="preserve">DIP14_IN_SOCKET_SMD</t>
  </si>
  <si>
    <t xml:space="preserve">STM32F103C8T6_board</t>
  </si>
  <si>
    <t xml:space="preserve">blue pill</t>
  </si>
  <si>
    <t xml:space="preserve">RPI</t>
  </si>
  <si>
    <t xml:space="preserve">Одноплатный компьютер Raspberry PI 4B</t>
  </si>
  <si>
    <t xml:space="preserve">LTC4418</t>
  </si>
  <si>
    <t xml:space="preserve">Переключатель питания</t>
  </si>
  <si>
    <t xml:space="preserve">QFN50</t>
  </si>
  <si>
    <t xml:space="preserve">NE555</t>
  </si>
  <si>
    <t xml:space="preserve">Таймер интегральный прецизионный</t>
  </si>
  <si>
    <t xml:space="preserve">LM393</t>
  </si>
  <si>
    <t xml:space="preserve">Двойной маломощный компаратор напряжения</t>
  </si>
  <si>
    <t xml:space="preserve">LD7575</t>
  </si>
  <si>
    <t xml:space="preserve">Высоковольтный ШИМ-контроллер со схемой мягкого запуска</t>
  </si>
  <si>
    <t xml:space="preserve">MAX668</t>
  </si>
  <si>
    <t xml:space="preserve">Boost, Flyback, SEPIC преобразователь. 10-uMAX/uSOP</t>
  </si>
  <si>
    <t xml:space="preserve">uSOP10</t>
  </si>
  <si>
    <t xml:space="preserve">LTV354T</t>
  </si>
  <si>
    <t xml:space="preserve">Оптопара с транзисторным выходом, UMW</t>
  </si>
  <si>
    <t xml:space="preserve">LTV354</t>
  </si>
  <si>
    <t xml:space="preserve">SOP4-2_54</t>
  </si>
  <si>
    <t xml:space="preserve">SN74LVC1G14DCKR</t>
  </si>
  <si>
    <t xml:space="preserve">Одноканальный инвертор с триггером Шмитта</t>
  </si>
  <si>
    <t xml:space="preserve">USB2514BM2</t>
  </si>
  <si>
    <t xml:space="preserve">USB 2,0 HUB</t>
  </si>
  <si>
    <t xml:space="preserve">Schematic\USB2514BM2.Schlib</t>
  </si>
  <si>
    <t xml:space="preserve">VFQFN-36</t>
  </si>
  <si>
    <t xml:space="preserve">RTL8367N-VB-CG</t>
  </si>
  <si>
    <t xml:space="preserve">ETH свич 1000base-T</t>
  </si>
  <si>
    <t xml:space="preserve">QFN40</t>
  </si>
  <si>
    <t xml:space="preserve">CM4</t>
  </si>
  <si>
    <t xml:space="preserve">Raspberry Pi Compute Module 4 (Wireless, 2GB RAM, 32GB eMMC), Одноплатный компьютер на базе процессора Broadcom BCM2711, Wi-Fi, Bluetooth</t>
  </si>
  <si>
    <t xml:space="preserve">CM4-DF40HC(3.0)-100DS-0.4v_3mm_1.5mm</t>
  </si>
  <si>
    <t xml:space="preserve">CM5</t>
  </si>
  <si>
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</si>
  <si>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 xml:space="preserve">CM5-DF40HC(3.0)-100DS-0.4v_3mm_1.5mm</t>
  </si>
  <si>
    <t xml:space="preserve">https://datasheets.raspberrypi.com/cm5/cm5-datasheet.pdf</t>
  </si>
  <si>
    <t xml:space="preserve">ADP2301AUJZ-R7</t>
  </si>
  <si>
    <t xml:space="preserve">DC-DC преобразователь понижающий ADJ 1.2А</t>
  </si>
  <si>
    <t xml:space="preserve">ADP2300</t>
  </si>
  <si>
    <t xml:space="preserve">LM5116MH</t>
  </si>
  <si>
    <t xml:space="preserve">dc-dc понижающий adj 6-100v </t>
  </si>
  <si>
    <t xml:space="preserve">HTSSOP-20</t>
  </si>
  <si>
    <t xml:space="preserve">IXDN602</t>
  </si>
  <si>
    <t xml:space="preserve">Двухканальный драйвер затвора для mosfet и igbt транзисторов</t>
  </si>
  <si>
    <t xml:space="preserve">LMC555</t>
  </si>
  <si>
    <t xml:space="preserve">Таймер интегральный прецизионный КМОП</t>
  </si>
  <si>
    <t xml:space="preserve">MC3306A</t>
  </si>
  <si>
    <t xml:space="preserve">DC-DC понижающий/повышающий преобразователь, вход: 3 - 40 В, выход: 1,25 - 40 В 1,5 А</t>
  </si>
  <si>
    <t xml:space="preserve">RTL8367RB-VB</t>
  </si>
  <si>
    <t xml:space="preserve">Управляемый коммутатор второго уровня на 5+2 порта 10/100/1000M</t>
  </si>
  <si>
    <t xml:space="preserve">RTL8367RB-VB_gost</t>
  </si>
  <si>
    <t xml:space="preserve">LQFP128_14x14_exposed_pad</t>
  </si>
  <si>
    <t xml:space="preserve">https://static.chipdip.ru/lib/518/DOC041518607.pdf</t>
  </si>
  <si>
    <t xml:space="preserve">TS951ILT</t>
  </si>
  <si>
    <t xml:space="preserve">Операционный усилитель Rail-to-Rail, 1-канальный</t>
  </si>
  <si>
    <t xml:space="preserve">SOT23-5</t>
  </si>
  <si>
    <t xml:space="preserve">glebmih</t>
  </si>
  <si>
    <t xml:space="preserve">AP63200</t>
  </si>
  <si>
    <t xml:space="preserve">DC-DC понижающий преобразователь, Vin: 3.8 - 40 В, adj, 2 А</t>
  </si>
  <si>
    <t xml:space="preserve">TSOT26</t>
  </si>
  <si>
    <t xml:space="preserve">74HC74D,653</t>
  </si>
  <si>
    <t xml:space="preserve">SOIC-14</t>
  </si>
  <si>
    <t xml:space="preserve">AP63203</t>
  </si>
  <si>
    <t xml:space="preserve">DC-DC понижающий преобразователь, Vin: 3.8 - 40 В; 3,3 В; 2 А</t>
  </si>
  <si>
    <t xml:space="preserve">IRS21867</t>
  </si>
  <si>
    <t xml:space="preserve">Полумостовой драйвер затвора для mosfet и igbt транзисторов</t>
  </si>
  <si>
    <t xml:space="preserve">https://cdn.promelec.ru/upload/datasheet/1/3/Infineon-IRS21867-DS-v01_01-EN.pdf</t>
  </si>
  <si>
    <t xml:space="preserve">CM5116000</t>
  </si>
  <si>
    <t xml:space="preserve">Raspberry-Pi Cm5 16Gb RAM, 0Gb eMMC, Wifibt </t>
  </si>
  <si>
    <t xml:space="preserve">https://pip-assets.raspberrypi.com/categories/944-raspberry-pi-compute-module-5/documents/RP-008180-DS-6-cm5-datasheet.pdf?disposition=inline</t>
  </si>
  <si>
    <t xml:space="preserve">ST1S40IPUR</t>
  </si>
  <si>
    <t xml:space="preserve">Преобразователь постоянного тока понижающий синхронный подстраиваемый 3А</t>
  </si>
  <si>
    <t xml:space="preserve">VFQFPN8-4X4</t>
  </si>
  <si>
    <t xml:space="preserve">https://cdn.promelec.ru/upload/datasheet/6/4/CD00284753.pdf</t>
  </si>
  <si>
    <t xml:space="preserve">MT9700</t>
  </si>
  <si>
    <t xml:space="preserve">Силовой ключ с настраиваемым ограничением тока, 2А(max), SOT-23-5</t>
  </si>
  <si>
    <t xml:space="preserve">https://static.chipdip.ru/lib/498/DOC013498591.pdf</t>
  </si>
  <si>
    <t xml:space="preserve">NSi8100NC</t>
  </si>
  <si>
    <t xml:space="preserve">Цифровой двунаравленный изолятор 2 канала</t>
  </si>
  <si>
    <t xml:space="preserve">https://cdn.promelec.ru/upload/items/2023/10/13/NSi8100NC_.pdf</t>
  </si>
  <si>
    <t xml:space="preserve">Gidrogleb</t>
  </si>
  <si>
    <t xml:space="preserve">UCC27211</t>
  </si>
  <si>
    <t xml:space="preserve">Полумостовой драйвер затвора для mosfet транзисторов</t>
  </si>
  <si>
    <t xml:space="preserve">https://static.chipdip.ru/lib/348/DOC032348430.pdf</t>
  </si>
  <si>
    <t xml:space="preserve">AD8656</t>
  </si>
  <si>
    <t xml:space="preserve">Операционный усилитель 28МГц, CMOS, 2-канала, Rail-to-Rail</t>
  </si>
  <si>
    <t xml:space="preserve">MSOP-8</t>
  </si>
  <si>
    <t xml:space="preserve">https://static.chipdip.ru/lib/442/DOC011442004.pdf</t>
  </si>
  <si>
    <t xml:space="preserve">STM32H743VIT6</t>
  </si>
  <si>
    <t xml:space="preserve">Микроконтроллер, 32-Бит, Cortex-M7, 480МГц, 2Мб Flash, 1Мб SRAM, 82 I/O</t>
  </si>
  <si>
    <t xml:space="preserve">https://static.chipdip.ru/lib/529/DOC010529789.pdf</t>
  </si>
  <si>
    <t xml:space="preserve">AD8031</t>
  </si>
  <si>
    <t xml:space="preserve">Операционный усилитель, 80МГц, 1-канал, 35В/мкс, Voltage Feedback, Rail-to-Rail</t>
  </si>
  <si>
    <t xml:space="preserve">https://static.chipdip.ru/lib/262/DOC005262075.pdf</t>
  </si>
  <si>
    <t xml:space="preserve">AP63205</t>
  </si>
  <si>
    <t xml:space="preserve">DC-DC понижающий преобразователь, Vin: 3.8 - 40 В; 5 В; 2 А</t>
  </si>
  <si>
    <t xml:space="preserve">https://static.chipdip.ru/lib/416/DOC012416105.pdf</t>
  </si>
  <si>
    <t xml:space="preserve">ADP150AUJZ-3.3</t>
  </si>
  <si>
    <t xml:space="preserve">Стабилизатор напряжения 3.3В 150мА </t>
  </si>
  <si>
    <t xml:space="preserve">https://static.chipdip.ru/lib/986/DOC003986581.pdf</t>
  </si>
  <si>
    <t xml:space="preserve">REF3030AIDBZR</t>
  </si>
  <si>
    <t xml:space="preserve">Источник опорного напряжения, 3В</t>
  </si>
  <si>
    <t xml:space="preserve">SOT23-3</t>
  </si>
  <si>
    <t xml:space="preserve">https://static.chipdip.ru/lib/248/DOC000248445.pdf</t>
  </si>
  <si>
    <t xml:space="preserve">MAX3051EKA+T</t>
  </si>
  <si>
    <t xml:space="preserve">CAN трансивер 1Mbps +3.3В</t>
  </si>
  <si>
    <t xml:space="preserve">SOT23-8</t>
  </si>
  <si>
    <t xml:space="preserve">https://static.chipdip.ru/lib/876/DOC015876362.pdf</t>
  </si>
  <si>
    <t xml:space="preserve">ATTINY412</t>
  </si>
  <si>
    <t xml:space="preserve">https://static.chipdip.ru/lib/607/DOC011607871.pdf</t>
  </si>
  <si>
    <t xml:space="preserve">klegot</t>
  </si>
  <si>
    <t xml:space="preserve">CH340N</t>
  </si>
  <si>
    <t xml:space="preserve">Преобразователь интерфейса USB в UART</t>
  </si>
  <si>
    <t xml:space="preserve">https://static.chipdip.ru/lib/375/DOC030375417.pdf</t>
  </si>
  <si>
    <t xml:space="preserve">MAX809</t>
  </si>
  <si>
    <t xml:space="preserve">Формирователь импульса сброса (супервизор питания)</t>
  </si>
  <si>
    <t xml:space="preserve">https://static.chipdip.ru/lib/848/DOC018848681.pdf</t>
  </si>
  <si>
    <t xml:space="preserve">XT4052</t>
  </si>
  <si>
    <t xml:space="preserve">Контроллер заряда Li-Ion аккумуляторов, 4.2 В</t>
  </si>
  <si>
    <t xml:space="preserve">https://orion43.ru/datasheets/34208.pdf?ysclid=mr598nxlrz92742175</t>
  </si>
  <si>
    <t xml:space="preserve">WS2812B</t>
  </si>
  <si>
    <t xml:space="preserve">Адресный светодиод</t>
  </si>
  <si>
    <t xml:space="preserve">LED_RGB_5MM</t>
  </si>
  <si>
    <t xml:space="preserve">https://static.chipdip.ru/lib/554/DOC001554925.pdf</t>
  </si>
  <si>
    <t xml:space="preserve">URB2405YMD-15WR3</t>
  </si>
  <si>
    <t xml:space="preserve">DC-DC понижающий преобразователь, Vin: 9-36 В; 5 В; 3 А</t>
  </si>
  <si>
    <t xml:space="preserve">https://static.chipdip.ru/lib2/b/119/DOC073119166.pdf</t>
  </si>
  <si>
    <t xml:space="preserve">gidrogleb</t>
  </si>
  <si>
    <t xml:space="preserve">ADR02BUJZ</t>
  </si>
  <si>
    <t xml:space="preserve">Источник опорного напряжения, 5В</t>
  </si>
  <si>
    <t xml:space="preserve">https://www.chipdip.ru/product/adr02bujz-reel7-analog-devices-8001656524</t>
  </si>
  <si>
    <t xml:space="preserve">Vouka05</t>
  </si>
  <si>
    <t xml:space="preserve">ADS1220IPWR</t>
  </si>
  <si>
    <t xml:space="preserve">24-Бит Sigma-Delta аналого-цифровой преобразователь</t>
  </si>
  <si>
    <t xml:space="preserve">https://www.chipdip.ru/product/ads1220ipwr-24-bit-sigma-delta-texas-instruments-9000527504</t>
  </si>
  <si>
    <t xml:space="preserve">Vouka06</t>
  </si>
  <si>
    <t xml:space="preserve">AP63203WU-7</t>
  </si>
  <si>
    <t xml:space="preserve">DC-DC Преобразователь</t>
  </si>
  <si>
    <t xml:space="preserve">https://www.chipdip.ru/product/max3051eka-t-can-transiver-1mbps-3.3v-sot-23-8-maxim-9000980588</t>
  </si>
  <si>
    <t xml:space="preserve">CH676767</t>
  </si>
  <si>
    <t xml:space="preserve">Преобразователь интерфейса USB на садовый шланг 25мм</t>
  </si>
  <si>
    <t xml:space="preserve">ADM51</t>
  </si>
  <si>
    <t xml:space="preserve">Приемопередатчик RS485 с гальванической привязкой к VBAT</t>
  </si>
  <si>
    <t xml:space="preserve">Voltage (V)</t>
  </si>
  <si>
    <t xml:space="preserve">Current</t>
  </si>
  <si>
    <t xml:space="preserve">SK33</t>
  </si>
  <si>
    <t xml:space="preserve">Schematic\Schottky_diode.schLib</t>
  </si>
  <si>
    <t xml:space="preserve">Schottky_diode</t>
  </si>
  <si>
    <t xml:space="preserve">SMC</t>
  </si>
  <si>
    <t xml:space="preserve">3 А</t>
  </si>
  <si>
    <t xml:space="preserve">SK32</t>
  </si>
  <si>
    <t xml:space="preserve">20</t>
  </si>
  <si>
    <t xml:space="preserve">BAT54WS</t>
  </si>
  <si>
    <t xml:space="preserve">SOD-323</t>
  </si>
  <si>
    <t xml:space="preserve">0,2 А</t>
  </si>
  <si>
    <t xml:space="preserve">10S45SP</t>
  </si>
  <si>
    <t xml:space="preserve">TO-277</t>
  </si>
  <si>
    <t xml:space="preserve">10 А</t>
  </si>
  <si>
    <t xml:space="preserve">SK810</t>
  </si>
  <si>
    <t xml:space="preserve">8 А</t>
  </si>
  <si>
    <t xml:space="preserve">15MQ040N</t>
  </si>
  <si>
    <t xml:space="preserve">SMA</t>
  </si>
  <si>
    <t xml:space="preserve">2,1 А</t>
  </si>
  <si>
    <t xml:space="preserve">BAS70-04-7-F</t>
  </si>
  <si>
    <t xml:space="preserve">Schematic\BAS70-04-7-F.schLib</t>
  </si>
  <si>
    <t xml:space="preserve">SOT23</t>
  </si>
  <si>
    <t xml:space="preserve">0,7 А</t>
  </si>
  <si>
    <t xml:space="preserve">SK56</t>
  </si>
  <si>
    <t xml:space="preserve">5 А</t>
  </si>
  <si>
    <t xml:space="preserve">SK54</t>
  </si>
  <si>
    <t xml:space="preserve">B550C</t>
  </si>
  <si>
    <t xml:space="preserve">20MQ100</t>
  </si>
  <si>
    <t xml:space="preserve">2 А</t>
  </si>
  <si>
    <t xml:space="preserve">Power (W)</t>
  </si>
  <si>
    <t xml:space="preserve">Value</t>
  </si>
  <si>
    <t xml:space="preserve">Accuracy</t>
  </si>
  <si>
    <t xml:space="preserve">BZX384-C12</t>
  </si>
  <si>
    <t xml:space="preserve">Стабилитрон на 12 В, рассеиваемая мощность 0.3 Вт</t>
  </si>
  <si>
    <t xml:space="preserve">Schematic\Zener.SchLib</t>
  </si>
  <si>
    <t xml:space="preserve">Zener</t>
  </si>
  <si>
    <t xml:space="preserve">Footprints\SOD-323.PcbLib</t>
  </si>
  <si>
    <t xml:space="preserve">12</t>
  </si>
  <si>
    <t xml:space="preserve">5 мА</t>
  </si>
  <si>
    <t xml:space="preserve">0.3</t>
  </si>
  <si>
    <t xml:space="preserve">12 В</t>
  </si>
  <si>
    <t xml:space="preserve">BZV55B2V4</t>
  </si>
  <si>
    <t xml:space="preserve">Стабилитрон на 2.4 В, рассеиваемая мощность 0.5 Вт</t>
  </si>
  <si>
    <t xml:space="preserve">Footprints\mini_MELF_3.5mm.PcbLib</t>
  </si>
  <si>
    <t xml:space="preserve">mini_MELF_3.5mm</t>
  </si>
  <si>
    <t xml:space="preserve">2.4</t>
  </si>
  <si>
    <t xml:space="preserve">0.5</t>
  </si>
  <si>
    <t xml:space="preserve">2.4 В</t>
  </si>
  <si>
    <t xml:space="preserve">BZX84-B11</t>
  </si>
  <si>
    <t xml:space="preserve">Стабилитрон на 11 В, рассеиваемая мощность 0.25 Вт</t>
  </si>
  <si>
    <t xml:space="preserve">Schematic\Zener_3pin.SchLib</t>
  </si>
  <si>
    <t xml:space="preserve">Zener_3pin</t>
  </si>
  <si>
    <t xml:space="preserve">Footprints\SOT23-3.PcbLib</t>
  </si>
  <si>
    <t xml:space="preserve">11</t>
  </si>
  <si>
    <t xml:space="preserve">0.25</t>
  </si>
  <si>
    <t xml:space="preserve">11 В</t>
  </si>
  <si>
    <t xml:space="preserve">BZV55-B12</t>
  </si>
  <si>
    <t xml:space="preserve">Стабилитрон 12В, 5%, 0.5Вт</t>
  </si>
  <si>
    <t xml:space="preserve">BZV55-B10</t>
  </si>
  <si>
    <t xml:space="preserve">Стабилитрон 10В, 2%, 0.5Вт</t>
  </si>
  <si>
    <t xml:space="preserve">10</t>
  </si>
  <si>
    <t xml:space="preserve">10 В</t>
  </si>
  <si>
    <t xml:space="preserve">https://cdn.promelec.ru/upload/datasheet/b/7/BZV55_SER.pdf</t>
  </si>
  <si>
    <t xml:space="preserve">Interface</t>
  </si>
  <si>
    <t xml:space="preserve">SMBJ24A</t>
  </si>
  <si>
    <t xml:space="preserve">TVS_1_1dir</t>
  </si>
  <si>
    <t xml:space="preserve">SMB</t>
  </si>
  <si>
    <t xml:space="preserve">PSM712</t>
  </si>
  <si>
    <t xml:space="preserve">TVS_2_2dir</t>
  </si>
  <si>
    <t xml:space="preserve">RS-485</t>
  </si>
  <si>
    <t xml:space="preserve">SMAJ12CA</t>
  </si>
  <si>
    <t xml:space="preserve">TVS_1_2dir</t>
  </si>
  <si>
    <t xml:space="preserve">SMBJ18A</t>
  </si>
  <si>
    <t xml:space="preserve">PESD5V0S1UB</t>
  </si>
  <si>
    <t xml:space="preserve">SOD523</t>
  </si>
  <si>
    <t xml:space="preserve">SMBJ15A</t>
  </si>
  <si>
    <t xml:space="preserve">SMBJ13A-TR</t>
  </si>
  <si>
    <t xml:space="preserve">SM15T33A</t>
  </si>
  <si>
    <t xml:space="preserve">SMBJ16CA</t>
  </si>
  <si>
    <t xml:space="preserve">Защитный диод двунаправленный 600Вт 16В</t>
  </si>
  <si>
    <t xml:space="preserve">PESD3V3L1UB</t>
  </si>
  <si>
    <t xml:space="preserve">SMBJ16A</t>
  </si>
  <si>
    <t xml:space="preserve">SMAJ12A</t>
  </si>
  <si>
    <t xml:space="preserve">PESD1CAN,215</t>
  </si>
  <si>
    <t xml:space="preserve">CAN</t>
  </si>
  <si>
    <t xml:space="preserve">https://static.chipdip.ru/lib/583/DOC001583049.pdf</t>
  </si>
  <si>
    <t xml:space="preserve">SMAJ5.0A-TR</t>
  </si>
  <si>
    <t xml:space="preserve">https://static.chipdip.ru/lib/904/DOC012904895.pdf</t>
  </si>
  <si>
    <t xml:space="preserve">Current (A)</t>
  </si>
  <si>
    <t xml:space="preserve">50N06</t>
  </si>
  <si>
    <t xml:space="preserve">N-канальный MOSFET</t>
  </si>
  <si>
    <t xml:space="preserve">Schematic\MOSFET N-channel.SchLib</t>
  </si>
  <si>
    <t xml:space="preserve">MOSFET N-channel 1</t>
  </si>
  <si>
    <t xml:space="preserve">DPAK</t>
  </si>
  <si>
    <t xml:space="preserve">DPAK_termopad</t>
  </si>
  <si>
    <t xml:space="preserve">60 В</t>
  </si>
  <si>
    <t xml:space="preserve">50 А</t>
  </si>
  <si>
    <t xml:space="preserve">100N03A</t>
  </si>
  <si>
    <t xml:space="preserve">30 В</t>
  </si>
  <si>
    <t xml:space="preserve">90 А</t>
  </si>
  <si>
    <t xml:space="preserve">AO3400A</t>
  </si>
  <si>
    <t xml:space="preserve">MOSFET N-channel 2</t>
  </si>
  <si>
    <t xml:space="preserve">AO3401A</t>
  </si>
  <si>
    <t xml:space="preserve">P-канальный MOSFET</t>
  </si>
  <si>
    <t xml:space="preserve">Schematic\MOSFET P-channel.SchLib</t>
  </si>
  <si>
    <t xml:space="preserve">MOSFET P-channel 2</t>
  </si>
  <si>
    <t xml:space="preserve">SUD50P06-15</t>
  </si>
  <si>
    <t xml:space="preserve">MOSFET P-channel 1</t>
  </si>
  <si>
    <t xml:space="preserve">AO4411</t>
  </si>
  <si>
    <t xml:space="preserve">Schematic\MOSFET_P-channel_8pin.SchLib</t>
  </si>
  <si>
    <t xml:space="preserve">MOSFET_P-channel_8pin</t>
  </si>
  <si>
    <t xml:space="preserve">AO4812</t>
  </si>
  <si>
    <t xml:space="preserve">Сборка из полевых транзисторов, 2N-канальный, 30 В, 6.9 А</t>
  </si>
  <si>
    <t xml:space="preserve">Schematic\AO4812.SchLib</t>
  </si>
  <si>
    <t xml:space="preserve">6.9 А</t>
  </si>
  <si>
    <t xml:space="preserve">bc807</t>
  </si>
  <si>
    <t xml:space="preserve">Биполярный транзистор PNP 45В 0.5А 0.31Вт</t>
  </si>
  <si>
    <t xml:space="preserve">Schematic\pnp.SchLib</t>
  </si>
  <si>
    <t xml:space="preserve">pnp</t>
  </si>
  <si>
    <t xml:space="preserve">45 В</t>
  </si>
  <si>
    <t xml:space="preserve">0.5 А</t>
  </si>
  <si>
    <t xml:space="preserve">AUIRF1405ZSTRL</t>
  </si>
  <si>
    <t xml:space="preserve">Транзистор полевой MOSFET N-канальный 55В 75А 330Вт</t>
  </si>
  <si>
    <t xml:space="preserve">D2PAK</t>
  </si>
  <si>
    <t xml:space="preserve">55 В</t>
  </si>
  <si>
    <t xml:space="preserve">75 А</t>
  </si>
  <si>
    <t xml:space="preserve">SIR426DP-T1-GE3</t>
  </si>
  <si>
    <t xml:space="preserve">Транзистор полевой MOSFET N-канальный 40В 41.7Вт</t>
  </si>
  <si>
    <t xml:space="preserve">Schematic\SIR426DP-T1-GE3.SchLib</t>
  </si>
  <si>
    <t xml:space="preserve">PowerPAK_SO-8</t>
  </si>
  <si>
    <t xml:space="preserve">40 В</t>
  </si>
  <si>
    <t xml:space="preserve">PDTC114ET</t>
  </si>
  <si>
    <t xml:space="preserve">цифровой npn 50в 100мА </t>
  </si>
  <si>
    <t xml:space="preserve">Schematic\PDTC114ET.SchLib</t>
  </si>
  <si>
    <t xml:space="preserve">50 В</t>
  </si>
  <si>
    <t xml:space="preserve">0, 1 А</t>
  </si>
  <si>
    <t xml:space="preserve">IRFH7084</t>
  </si>
  <si>
    <t xml:space="preserve">Schematic\MOSFET_N-channel_8pin.SchLib</t>
  </si>
  <si>
    <t xml:space="preserve">MOSFET_N-channel_8pin</t>
  </si>
  <si>
    <t xml:space="preserve">PQFN_5x6</t>
  </si>
  <si>
    <t xml:space="preserve">100 А</t>
  </si>
  <si>
    <t xml:space="preserve">BC857</t>
  </si>
  <si>
    <t xml:space="preserve">Биполярный транзистор PNP 45В 0.1А 0.25Вт</t>
  </si>
  <si>
    <t xml:space="preserve">0.1 А</t>
  </si>
  <si>
    <t xml:space="preserve">IPD90P04P405</t>
  </si>
  <si>
    <t xml:space="preserve">BC857BS</t>
  </si>
  <si>
    <t xml:space="preserve">Сборка из биполярных транзисторов, 2 pnp, 45 В,  0.1А</t>
  </si>
  <si>
    <t xml:space="preserve">Schematic\2pnp.SchLib</t>
  </si>
  <si>
    <t xml:space="preserve">2pnp</t>
  </si>
  <si>
    <t xml:space="preserve">SOT-363</t>
  </si>
  <si>
    <t xml:space="preserve">SOT-363_35um</t>
  </si>
  <si>
    <t xml:space="preserve">IRF9310TR</t>
  </si>
  <si>
    <t xml:space="preserve">P-канальный MOSFET, 30 В, 20 А</t>
  </si>
  <si>
    <t xml:space="preserve">20 А</t>
  </si>
  <si>
    <t xml:space="preserve">IRFH3702</t>
  </si>
  <si>
    <t xml:space="preserve">N-канальный MOSFET, 30 В, 16 А</t>
  </si>
  <si>
    <t xml:space="preserve">PQFN_3x3</t>
  </si>
  <si>
    <t xml:space="preserve">16 A</t>
  </si>
  <si>
    <t xml:space="preserve">NVMFS5C673NL</t>
  </si>
  <si>
    <t xml:space="preserve">N-канальный MOSFET, 60 В, 50 А</t>
  </si>
  <si>
    <t xml:space="preserve">Schematic\MOSFET_N-channel_5pin.SchLib</t>
  </si>
  <si>
    <t xml:space="preserve">MOSFET_N-channel_5pin</t>
  </si>
  <si>
    <t xml:space="preserve">DFN5_5x6</t>
  </si>
  <si>
    <t xml:space="preserve">https://www.elitan.ru/pdf/1/0/1/3/3/10133013.pdf</t>
  </si>
  <si>
    <t xml:space="preserve">CSD18534Q5A</t>
  </si>
  <si>
    <t xml:space="preserve">SON-8_5x6</t>
  </si>
  <si>
    <t xml:space="preserve">https://static.chipdip.ru/lib/647/DOC053647214.pdf</t>
  </si>
  <si>
    <t xml:space="preserve">Tolerance</t>
  </si>
  <si>
    <t xml:space="preserve">Resistor_1.0_1_0603</t>
  </si>
  <si>
    <t xml:space="preserve">Резистор номиналом 1,0 Ом 1%</t>
  </si>
  <si>
    <t xml:space="preserve">Resistor</t>
  </si>
  <si>
    <t xml:space="preserve">Schematic\Resistor.SchLib</t>
  </si>
  <si>
    <t xml:space="preserve">1,0</t>
  </si>
  <si>
    <t xml:space="preserve">1%</t>
  </si>
  <si>
    <t xml:space="preserve">Footprints/Resistors/0603R.PcbLib</t>
  </si>
  <si>
    <t xml:space="preserve">0603R</t>
  </si>
  <si>
    <t xml:space="preserve">Resistor_1.1_1_0603</t>
  </si>
  <si>
    <t xml:space="preserve">Резистор номиналом 1,1 Ом 1%</t>
  </si>
  <si>
    <t xml:space="preserve">1,1</t>
  </si>
  <si>
    <t xml:space="preserve">Resistor_1.2_1_0603</t>
  </si>
  <si>
    <t xml:space="preserve">Резистор номиналом 1,2 Ом 1%</t>
  </si>
  <si>
    <t xml:space="preserve">1,2</t>
  </si>
  <si>
    <t xml:space="preserve">Resistor_1.3_1_0603</t>
  </si>
  <si>
    <t xml:space="preserve">Резистор номиналом 1,3 Ом 1%</t>
  </si>
  <si>
    <t xml:space="preserve">1,3</t>
  </si>
  <si>
    <t xml:space="preserve">Resistor_1.5_1_0603</t>
  </si>
  <si>
    <t xml:space="preserve">Резистор номиналом 1,5 Ом 1%</t>
  </si>
  <si>
    <t xml:space="preserve">1,5</t>
  </si>
  <si>
    <t xml:space="preserve">Resistor_1.6_1_0603</t>
  </si>
  <si>
    <t xml:space="preserve">Резистор номиналом 1,6 Ом 1%</t>
  </si>
  <si>
    <t xml:space="preserve">1,6</t>
  </si>
  <si>
    <t xml:space="preserve">Resistor_1.8_1_0603</t>
  </si>
  <si>
    <t xml:space="preserve">Резистор номиналом 1,8 Ом 1%</t>
  </si>
  <si>
    <t xml:space="preserve">1,8</t>
  </si>
  <si>
    <t xml:space="preserve">Resistor_2.0_1_0603</t>
  </si>
  <si>
    <t xml:space="preserve">Резистор номиналом 2,0 Ом 1%</t>
  </si>
  <si>
    <t xml:space="preserve">2,0</t>
  </si>
  <si>
    <t xml:space="preserve">Resistor_2.2_1_0603</t>
  </si>
  <si>
    <t xml:space="preserve">Резистор номиналом 2,2 Ом 1%</t>
  </si>
  <si>
    <t xml:space="preserve">2,2</t>
  </si>
  <si>
    <t xml:space="preserve">Resistor_2.4_1_0603</t>
  </si>
  <si>
    <t xml:space="preserve">Резистор номиналом 2,4 Ом 1%</t>
  </si>
  <si>
    <t xml:space="preserve">2,4</t>
  </si>
  <si>
    <t xml:space="preserve">Resistor_2.7_1_0603</t>
  </si>
  <si>
    <t xml:space="preserve">Резистор номиналом 2,7 Ом 1%</t>
  </si>
  <si>
    <t xml:space="preserve">2,7</t>
  </si>
  <si>
    <t xml:space="preserve">Resistor_3.0_1_0603</t>
  </si>
  <si>
    <t xml:space="preserve">Резистор номиналом 3,0 Ом 1%</t>
  </si>
  <si>
    <t xml:space="preserve">3,0</t>
  </si>
  <si>
    <t xml:space="preserve">Resistor_3.3_1_0603</t>
  </si>
  <si>
    <t xml:space="preserve">Резистор номиналом 3,3 Ом 1%</t>
  </si>
  <si>
    <t xml:space="preserve">3,3</t>
  </si>
  <si>
    <t xml:space="preserve">Resistor_3.6_1_0603</t>
  </si>
  <si>
    <t xml:space="preserve">Резистор номиналом 3,6 Ом 1%</t>
  </si>
  <si>
    <t xml:space="preserve">3,6</t>
  </si>
  <si>
    <t xml:space="preserve">Resistor_3.9_1_0603</t>
  </si>
  <si>
    <t xml:space="preserve">Резистор номиналом 3,9 Ом 1%</t>
  </si>
  <si>
    <t xml:space="preserve">3,9</t>
  </si>
  <si>
    <t xml:space="preserve">Resistor_4.3_1_0603</t>
  </si>
  <si>
    <t xml:space="preserve">Резистор номиналом 4,3 Ом 1%</t>
  </si>
  <si>
    <t xml:space="preserve">4,3</t>
  </si>
  <si>
    <t xml:space="preserve">Resistor_4.7_1_0603</t>
  </si>
  <si>
    <t xml:space="preserve">Резистор номиналом 4,7 Ом 1%</t>
  </si>
  <si>
    <t xml:space="preserve">4,7</t>
  </si>
  <si>
    <t xml:space="preserve">Resistor_5.1_1_0603</t>
  </si>
  <si>
    <t xml:space="preserve">Резистор номиналом 5,1 Ом 1%</t>
  </si>
  <si>
    <t xml:space="preserve">5,1</t>
  </si>
  <si>
    <t xml:space="preserve">Resistor_5.6_1_0603</t>
  </si>
  <si>
    <t xml:space="preserve">Резистор номиналом 5,6 Ом 1%</t>
  </si>
  <si>
    <t xml:space="preserve">5,6</t>
  </si>
  <si>
    <t xml:space="preserve">Resistor_6.2_1_0603</t>
  </si>
  <si>
    <t xml:space="preserve">Резистор номиналом 6,2 Ом 1%</t>
  </si>
  <si>
    <t xml:space="preserve">6,2</t>
  </si>
  <si>
    <t xml:space="preserve">Resistor_6.8_1_0603</t>
  </si>
  <si>
    <t xml:space="preserve">Резистор номиналом 6,8 Ом 1%</t>
  </si>
  <si>
    <t xml:space="preserve">6,8</t>
  </si>
  <si>
    <t xml:space="preserve">Resistor_7.5_1_0603</t>
  </si>
  <si>
    <t xml:space="preserve">Резистор номиналом 7,5 Ом 1%</t>
  </si>
  <si>
    <t xml:space="preserve">7,5</t>
  </si>
  <si>
    <t xml:space="preserve">Resistor_8.2_1_0603</t>
  </si>
  <si>
    <t xml:space="preserve">Резистор номиналом 8,2 Ом 1%</t>
  </si>
  <si>
    <t xml:space="preserve">8,2</t>
  </si>
  <si>
    <t xml:space="preserve">Resistor_9.1_1_0603</t>
  </si>
  <si>
    <t xml:space="preserve">Резистор номиналом 9,1 Ом 1%</t>
  </si>
  <si>
    <t xml:space="preserve">9,1</t>
  </si>
  <si>
    <t xml:space="preserve">Resistor_10_1_0603</t>
  </si>
  <si>
    <t xml:space="preserve">Резистор номиналом 10 Ом 1%</t>
  </si>
  <si>
    <t xml:space="preserve">Resistor_11_1_0603</t>
  </si>
  <si>
    <t xml:space="preserve">Резистор номиналом 11 Ом 1%</t>
  </si>
  <si>
    <t xml:space="preserve">Resistor_12_1_0603</t>
  </si>
  <si>
    <t xml:space="preserve">Резистор номиналом 12 Ом 1%</t>
  </si>
  <si>
    <t xml:space="preserve">Resistor_13_1_0603</t>
  </si>
  <si>
    <t xml:space="preserve">Резистор номиналом 13 Ом 1%</t>
  </si>
  <si>
    <t xml:space="preserve">13</t>
  </si>
  <si>
    <t xml:space="preserve">Resistor_15_1_0603</t>
  </si>
  <si>
    <t xml:space="preserve">Резистор номиналом 15 Ом 1%</t>
  </si>
  <si>
    <t xml:space="preserve">15</t>
  </si>
  <si>
    <t xml:space="preserve">Resistor_16_1_0603</t>
  </si>
  <si>
    <t xml:space="preserve">Резистор номиналом 16 Ом 1%</t>
  </si>
  <si>
    <t xml:space="preserve">16</t>
  </si>
  <si>
    <t xml:space="preserve">Resistor_18_1_0603</t>
  </si>
  <si>
    <t xml:space="preserve">Резистор номиналом 18 Ом 1%</t>
  </si>
  <si>
    <t xml:space="preserve">18</t>
  </si>
  <si>
    <t xml:space="preserve">Resistor_20_1_0603</t>
  </si>
  <si>
    <t xml:space="preserve">Резистор номиналом 20 Ом 1%</t>
  </si>
  <si>
    <t xml:space="preserve">Resistor_22_1_0603</t>
  </si>
  <si>
    <t xml:space="preserve">Резистор номиналом 22 Ом 1%</t>
  </si>
  <si>
    <t xml:space="preserve">22</t>
  </si>
  <si>
    <t xml:space="preserve">Resistor_24_1_0603</t>
  </si>
  <si>
    <t xml:space="preserve">Резистор номиналом 24 Ом 1%</t>
  </si>
  <si>
    <t xml:space="preserve">24</t>
  </si>
  <si>
    <t xml:space="preserve">Resistor_27_1_0603</t>
  </si>
  <si>
    <t xml:space="preserve">Резистор номиналом 27 Ом 1%</t>
  </si>
  <si>
    <t xml:space="preserve">27</t>
  </si>
  <si>
    <t xml:space="preserve">Resistor_30_1_0603</t>
  </si>
  <si>
    <t xml:space="preserve">Резистор номиналом 30 Ом 1%</t>
  </si>
  <si>
    <t xml:space="preserve">30</t>
  </si>
  <si>
    <t xml:space="preserve">Resistor_33_1_0603</t>
  </si>
  <si>
    <t xml:space="preserve">Резистор номиналом 33 Ом 1%</t>
  </si>
  <si>
    <t xml:space="preserve">33</t>
  </si>
  <si>
    <t xml:space="preserve">Resistor_36_1_0603</t>
  </si>
  <si>
    <t xml:space="preserve">Резистор номиналом 36 Ом 1%</t>
  </si>
  <si>
    <t xml:space="preserve">36</t>
  </si>
  <si>
    <t xml:space="preserve">Resistor_39_1_0603</t>
  </si>
  <si>
    <t xml:space="preserve">Резистор номиналом 39 Ом 1%</t>
  </si>
  <si>
    <t xml:space="preserve">39</t>
  </si>
  <si>
    <t xml:space="preserve">Resistor_43_1_0603</t>
  </si>
  <si>
    <t xml:space="preserve">Резистор номиналом 43 Ом 1%</t>
  </si>
  <si>
    <t xml:space="preserve">43</t>
  </si>
  <si>
    <t xml:space="preserve">Resistor_47_1_0603</t>
  </si>
  <si>
    <t xml:space="preserve">Резистор номиналом 47 Ом 1%</t>
  </si>
  <si>
    <t xml:space="preserve">47</t>
  </si>
  <si>
    <t xml:space="preserve">Resistor_51_1_0603</t>
  </si>
  <si>
    <t xml:space="preserve">Резистор номиналом 51 Ом 1%</t>
  </si>
  <si>
    <t xml:space="preserve">51</t>
  </si>
  <si>
    <t xml:space="preserve">Resistor_56_1_0603</t>
  </si>
  <si>
    <t xml:space="preserve">Резистор номиналом 56 Ом 1%</t>
  </si>
  <si>
    <t xml:space="preserve">56</t>
  </si>
  <si>
    <t xml:space="preserve">Resistor_62_1_0603</t>
  </si>
  <si>
    <t xml:space="preserve">Резистор номиналом 62 Ом 1%</t>
  </si>
  <si>
    <t xml:space="preserve">62</t>
  </si>
  <si>
    <t xml:space="preserve">Resistor_68_1_0603</t>
  </si>
  <si>
    <t xml:space="preserve">Резистор номиналом 68 Ом 1%</t>
  </si>
  <si>
    <t xml:space="preserve">68</t>
  </si>
  <si>
    <t xml:space="preserve">Resistor_75_1_0603</t>
  </si>
  <si>
    <t xml:space="preserve">Резистор номиналом 75 Ом 1%</t>
  </si>
  <si>
    <t xml:space="preserve">75</t>
  </si>
  <si>
    <t xml:space="preserve">Resistor_82_1_0603</t>
  </si>
  <si>
    <t xml:space="preserve">Резистор номиналом 82 Ом 1%</t>
  </si>
  <si>
    <t xml:space="preserve">82</t>
  </si>
  <si>
    <t xml:space="preserve">Resistor_91_1_0603</t>
  </si>
  <si>
    <t xml:space="preserve">Резистор номиналом 91 Ом 1%</t>
  </si>
  <si>
    <t xml:space="preserve">91</t>
  </si>
  <si>
    <t xml:space="preserve">Resistor_100_1_0603</t>
  </si>
  <si>
    <t xml:space="preserve">Резистор номиналом 100 Ом 1%</t>
  </si>
  <si>
    <t xml:space="preserve">100</t>
  </si>
  <si>
    <t xml:space="preserve">Resistor_110_1_0603</t>
  </si>
  <si>
    <t xml:space="preserve">Резистор номиналом 110 Ом 1%</t>
  </si>
  <si>
    <t xml:space="preserve">110</t>
  </si>
  <si>
    <t xml:space="preserve">Resistor_120_1_0603</t>
  </si>
  <si>
    <t xml:space="preserve">Резистор номиналом 120 Ом 1%</t>
  </si>
  <si>
    <t xml:space="preserve">120</t>
  </si>
  <si>
    <t xml:space="preserve">Footprints/Resistors/1206R.PcbLib</t>
  </si>
  <si>
    <t xml:space="preserve">1206R</t>
  </si>
  <si>
    <t xml:space="preserve">Resistor_130_1_0603</t>
  </si>
  <si>
    <t xml:space="preserve">Резистор номиналом 130 Ом 1%</t>
  </si>
  <si>
    <t xml:space="preserve">130</t>
  </si>
  <si>
    <t xml:space="preserve">Resistor_150_1_0603</t>
  </si>
  <si>
    <t xml:space="preserve">Резистор номиналом 150 Ом 1%</t>
  </si>
  <si>
    <t xml:space="preserve">150</t>
  </si>
  <si>
    <t xml:space="preserve">Resistor_160_1_0603</t>
  </si>
  <si>
    <t xml:space="preserve">Резистор номиналом 160 Ом 1%</t>
  </si>
  <si>
    <t xml:space="preserve">160</t>
  </si>
  <si>
    <t xml:space="preserve">Resistor_180_1_0603</t>
  </si>
  <si>
    <t xml:space="preserve">Резистор номиналом 180 Ом 1%</t>
  </si>
  <si>
    <t xml:space="preserve">180</t>
  </si>
  <si>
    <t xml:space="preserve">Resistor_200_1_0603</t>
  </si>
  <si>
    <t xml:space="preserve">Резистор номиналом 200 Ом 1%</t>
  </si>
  <si>
    <t xml:space="preserve">200</t>
  </si>
  <si>
    <t xml:space="preserve">Resistor_220_1_0603</t>
  </si>
  <si>
    <t xml:space="preserve">Резистор номиналом 220 Ом 1%</t>
  </si>
  <si>
    <t xml:space="preserve">220</t>
  </si>
  <si>
    <t xml:space="preserve">Footprints/Resistors/RES_THT_025W.PcbLib</t>
  </si>
  <si>
    <t xml:space="preserve">RES_THT_025W_220</t>
  </si>
  <si>
    <t xml:space="preserve">Resistor_240_1_0603</t>
  </si>
  <si>
    <t xml:space="preserve">Резистор номиналом 240 Ом 1%</t>
  </si>
  <si>
    <t xml:space="preserve">240</t>
  </si>
  <si>
    <t xml:space="preserve">Resistor_270_1_0603</t>
  </si>
  <si>
    <t xml:space="preserve">Резистор номиналом 270 Ом 1%</t>
  </si>
  <si>
    <t xml:space="preserve">270</t>
  </si>
  <si>
    <t xml:space="preserve">RES_THT_025W_270</t>
  </si>
  <si>
    <t xml:space="preserve">Resistor_300_1_0603</t>
  </si>
  <si>
    <t xml:space="preserve">Резистор номиналом 300 Ом 1%</t>
  </si>
  <si>
    <t xml:space="preserve">300</t>
  </si>
  <si>
    <t xml:space="preserve">Resistor_330_1_0603</t>
  </si>
  <si>
    <t xml:space="preserve">Резистор номиналом 330 Ом 1%</t>
  </si>
  <si>
    <t xml:space="preserve">330</t>
  </si>
  <si>
    <t xml:space="preserve">Resistor_360_1_0603</t>
  </si>
  <si>
    <t xml:space="preserve">Резистор номиналом 360 Ом 1%</t>
  </si>
  <si>
    <t xml:space="preserve">360</t>
  </si>
  <si>
    <t xml:space="preserve">Resistor_390_1_0603</t>
  </si>
  <si>
    <t xml:space="preserve">Резистор номиналом 390 Ом 1%</t>
  </si>
  <si>
    <t xml:space="preserve">390</t>
  </si>
  <si>
    <t xml:space="preserve">Resistor_430_1_0603</t>
  </si>
  <si>
    <t xml:space="preserve">Резистор номиналом 430 Ом 1%</t>
  </si>
  <si>
    <t xml:space="preserve">430</t>
  </si>
  <si>
    <t xml:space="preserve">Resistor_470_1_0603</t>
  </si>
  <si>
    <t xml:space="preserve">Резистор номиналом 470 Ом 1%</t>
  </si>
  <si>
    <t xml:space="preserve">470</t>
  </si>
  <si>
    <t xml:space="preserve">RES_THT_025W_470</t>
  </si>
  <si>
    <t xml:space="preserve">Resistor_510_1_0603</t>
  </si>
  <si>
    <t xml:space="preserve">Резистор номиналом 510 Ом 1%</t>
  </si>
  <si>
    <t xml:space="preserve">510</t>
  </si>
  <si>
    <t xml:space="preserve">Footprints/Resistors/2512R.PcbLib</t>
  </si>
  <si>
    <t xml:space="preserve">2512R</t>
  </si>
  <si>
    <t xml:space="preserve">Resistor_560_1_0603</t>
  </si>
  <si>
    <t xml:space="preserve">Резистор номиналом 560 Ом 1%</t>
  </si>
  <si>
    <t xml:space="preserve">560</t>
  </si>
  <si>
    <t xml:space="preserve">Resistor_620_1_0603</t>
  </si>
  <si>
    <t xml:space="preserve">Резистор номиналом 620 Ом 1%</t>
  </si>
  <si>
    <t xml:space="preserve">620</t>
  </si>
  <si>
    <t xml:space="preserve">Resistor_680_1_0603</t>
  </si>
  <si>
    <t xml:space="preserve">Резистор номиналом 680 Ом 1%</t>
  </si>
  <si>
    <t xml:space="preserve">680</t>
  </si>
  <si>
    <t xml:space="preserve">Resistor_750_1_0603</t>
  </si>
  <si>
    <t xml:space="preserve">Резистор номиналом 750 Ом 1%</t>
  </si>
  <si>
    <t xml:space="preserve">750</t>
  </si>
  <si>
    <t xml:space="preserve">Resistor_820_1_0603</t>
  </si>
  <si>
    <t xml:space="preserve">Резистор номиналом 820 Ом 1%</t>
  </si>
  <si>
    <t xml:space="preserve">820</t>
  </si>
  <si>
    <t xml:space="preserve">Resistor_910_1_0603</t>
  </si>
  <si>
    <t xml:space="preserve">Резистор номиналом 910 Ом 1%</t>
  </si>
  <si>
    <t xml:space="preserve">910</t>
  </si>
  <si>
    <t xml:space="preserve">Resistor_1.0k_1_0603</t>
  </si>
  <si>
    <t xml:space="preserve">Резистор номиналом 1,0 кОм 1%</t>
  </si>
  <si>
    <t xml:space="preserve">1,0 к</t>
  </si>
  <si>
    <t xml:space="preserve">RES_THT_025W_1k</t>
  </si>
  <si>
    <t xml:space="preserve">Resistor_1.1k_1_0603</t>
  </si>
  <si>
    <t xml:space="preserve">Резистор номиналом 1,1 кОм 1%</t>
  </si>
  <si>
    <t xml:space="preserve">1,1 к</t>
  </si>
  <si>
    <t xml:space="preserve">Resistor_1.2k_1_0603</t>
  </si>
  <si>
    <t xml:space="preserve">Резистор номиналом 1,2 кОм 1%</t>
  </si>
  <si>
    <t xml:space="preserve">1,2 к</t>
  </si>
  <si>
    <t xml:space="preserve">Resistor_1.21k_1_0603</t>
  </si>
  <si>
    <t xml:space="preserve">Резистор номиналом 1,21 кОм 1%</t>
  </si>
  <si>
    <t xml:space="preserve">1,21 к</t>
  </si>
  <si>
    <t xml:space="preserve">Resistor_1.3k_1_0603</t>
  </si>
  <si>
    <t xml:space="preserve">Резистор номиналом 1,3 кОм 1%</t>
  </si>
  <si>
    <t xml:space="preserve">1,3 к</t>
  </si>
  <si>
    <t xml:space="preserve">Resistor_1.5k_1_0603</t>
  </si>
  <si>
    <t xml:space="preserve">Резистор номиналом 1,5 кОм 1%</t>
  </si>
  <si>
    <t xml:space="preserve">1,5 к</t>
  </si>
  <si>
    <t xml:space="preserve">Resistor_1.6k_1_0603</t>
  </si>
  <si>
    <t xml:space="preserve">Резистор номиналом 1,6 кОм 1%</t>
  </si>
  <si>
    <t xml:space="preserve">1,6 к</t>
  </si>
  <si>
    <t xml:space="preserve">Resistor_1.8k_1_0603</t>
  </si>
  <si>
    <t xml:space="preserve">Резистор номиналом 1,8 кОм 1%</t>
  </si>
  <si>
    <t xml:space="preserve">1,8 к</t>
  </si>
  <si>
    <t xml:space="preserve">Resistor_2.0k_1_0603</t>
  </si>
  <si>
    <t xml:space="preserve">Резистор номиналом 2,0 кОм 1%</t>
  </si>
  <si>
    <t xml:space="preserve">2,0 к</t>
  </si>
  <si>
    <t xml:space="preserve">RES_THT_025W_2k</t>
  </si>
  <si>
    <t xml:space="preserve">Resistor_2.2k_1_0603</t>
  </si>
  <si>
    <t xml:space="preserve">Резистор номиналом 2,2 кОм 1%</t>
  </si>
  <si>
    <t xml:space="preserve">2,2 к</t>
  </si>
  <si>
    <t xml:space="preserve">Resistor_2.4k_1_0603</t>
  </si>
  <si>
    <t xml:space="preserve">Резистор номиналом 2,4 кОм 1%</t>
  </si>
  <si>
    <t xml:space="preserve">2,4 к</t>
  </si>
  <si>
    <t xml:space="preserve">Resistor_2.7k_1_0603</t>
  </si>
  <si>
    <t xml:space="preserve">Резистор номиналом 2,7 кОм 1%</t>
  </si>
  <si>
    <t xml:space="preserve">2,7 к</t>
  </si>
  <si>
    <t xml:space="preserve">Resistor_3.0k_1_0603</t>
  </si>
  <si>
    <t xml:space="preserve">Резистор номиналом 3,0 кОм 1%</t>
  </si>
  <si>
    <t xml:space="preserve">3,0 к</t>
  </si>
  <si>
    <t xml:space="preserve">Resistor_3.3k_1_0603</t>
  </si>
  <si>
    <t xml:space="preserve">Резистор номиналом 3,3 кОм 1%</t>
  </si>
  <si>
    <t xml:space="preserve">3,3 к</t>
  </si>
  <si>
    <t xml:space="preserve">Footprints/Resistors/1210R.PcbLib</t>
  </si>
  <si>
    <t xml:space="preserve">1210R</t>
  </si>
  <si>
    <t xml:space="preserve">Resistor_3.6k_1_0603</t>
  </si>
  <si>
    <t xml:space="preserve">Резистор номиналом 3,6 кОм 1%</t>
  </si>
  <si>
    <t xml:space="preserve">3,6 к</t>
  </si>
  <si>
    <t xml:space="preserve">Resistor_3.9k_1_0603</t>
  </si>
  <si>
    <t xml:space="preserve">Резистор номиналом 3,9 кОм 1%</t>
  </si>
  <si>
    <t xml:space="preserve">3,9 к</t>
  </si>
  <si>
    <t xml:space="preserve">Resistor_4.3k_1_0603</t>
  </si>
  <si>
    <t xml:space="preserve">Резистор номиналом 4,3 кОм 1%</t>
  </si>
  <si>
    <t xml:space="preserve">4,3 к</t>
  </si>
  <si>
    <t xml:space="preserve">Resistor_4.7k_1_0603</t>
  </si>
  <si>
    <t xml:space="preserve">Резистор номиналом 4,7 кОм 1%</t>
  </si>
  <si>
    <t xml:space="preserve">4,7 к</t>
  </si>
  <si>
    <t xml:space="preserve">RES_THT_025W_4.7k</t>
  </si>
  <si>
    <t xml:space="preserve">Resistor_5.1k_1_0603</t>
  </si>
  <si>
    <t xml:space="preserve">Резистор номиналом 5,1 кОм 1%</t>
  </si>
  <si>
    <t xml:space="preserve">5,1 к</t>
  </si>
  <si>
    <t xml:space="preserve">Resistor_5.6k_1_0603</t>
  </si>
  <si>
    <t xml:space="preserve">Резистор номиналом 5,6 кОм 1%</t>
  </si>
  <si>
    <t xml:space="preserve">5,6 к</t>
  </si>
  <si>
    <t xml:space="preserve">Resistor_6.2k_1_0603</t>
  </si>
  <si>
    <t xml:space="preserve">Резистор номиналом 6,2 кОм 1%</t>
  </si>
  <si>
    <t xml:space="preserve">6,2 к</t>
  </si>
  <si>
    <t xml:space="preserve">Resistor_6.8k_1_0603</t>
  </si>
  <si>
    <t xml:space="preserve">Резистор номиналом 6,8 кОм 1%</t>
  </si>
  <si>
    <t xml:space="preserve">6,8 к</t>
  </si>
  <si>
    <t xml:space="preserve">Resistor_7.5k_1_0603</t>
  </si>
  <si>
    <t xml:space="preserve">Резистор номиналом 7,5 кОм 1%</t>
  </si>
  <si>
    <t xml:space="preserve">7,5 к</t>
  </si>
  <si>
    <t xml:space="preserve">Resistor_8.2k_1_0603</t>
  </si>
  <si>
    <t xml:space="preserve">Резистор номиналом 8,2 кОм 1%</t>
  </si>
  <si>
    <t xml:space="preserve">8,2 к</t>
  </si>
  <si>
    <t xml:space="preserve">Resistor_9.1k_1_0603</t>
  </si>
  <si>
    <t xml:space="preserve">Резистор номиналом 9,1 кОм 1%</t>
  </si>
  <si>
    <t xml:space="preserve">9,1 к</t>
  </si>
  <si>
    <t xml:space="preserve">Resistor_10k_1_0603</t>
  </si>
  <si>
    <t xml:space="preserve">Резистор номиналом 10 кОм 1%</t>
  </si>
  <si>
    <t xml:space="preserve">10 к</t>
  </si>
  <si>
    <t xml:space="preserve">Footprints/Resistors/1218R.PcbLib</t>
  </si>
  <si>
    <t xml:space="preserve">1218R</t>
  </si>
  <si>
    <t xml:space="preserve">RES_THT_025W_10k</t>
  </si>
  <si>
    <t xml:space="preserve">Resistor_10.7k_1_0603</t>
  </si>
  <si>
    <t xml:space="preserve">Резистор номиналом 10,7 кОм 1%</t>
  </si>
  <si>
    <t xml:space="preserve">10,7 к</t>
  </si>
  <si>
    <t xml:space="preserve">Resistor_11k_1_0603</t>
  </si>
  <si>
    <t xml:space="preserve">Резистор номиналом 11 кОм 1%</t>
  </si>
  <si>
    <t xml:space="preserve">11 к</t>
  </si>
  <si>
    <t xml:space="preserve">Resistor_12k_1_0603</t>
  </si>
  <si>
    <t xml:space="preserve">Резистор номиналом 12 кОм 1%</t>
  </si>
  <si>
    <t xml:space="preserve">12 к</t>
  </si>
  <si>
    <t xml:space="preserve">Resistor_12.4k_1_0603</t>
  </si>
  <si>
    <t xml:space="preserve">Резистор номиналом 12,4 кОм 1%</t>
  </si>
  <si>
    <t xml:space="preserve">12,4 к</t>
  </si>
  <si>
    <t xml:space="preserve">Resistor_13k_1_0603</t>
  </si>
  <si>
    <t xml:space="preserve">Резистор номиналом 13 кОм 1%</t>
  </si>
  <si>
    <t xml:space="preserve">13 к</t>
  </si>
  <si>
    <t xml:space="preserve">Resistor_15k_1_0603</t>
  </si>
  <si>
    <t xml:space="preserve">Резистор номиналом 15 кОм 1%</t>
  </si>
  <si>
    <t xml:space="preserve">15 к</t>
  </si>
  <si>
    <t xml:space="preserve">Resistor_16k_1_0603</t>
  </si>
  <si>
    <t xml:space="preserve">Резистор номиналом 16 кОм 1%</t>
  </si>
  <si>
    <t xml:space="preserve">16 к</t>
  </si>
  <si>
    <t xml:space="preserve">Resistor_18k_1_0603</t>
  </si>
  <si>
    <t xml:space="preserve">Резистор номиналом 18 кОм 1%</t>
  </si>
  <si>
    <t xml:space="preserve">18 к</t>
  </si>
  <si>
    <t xml:space="preserve">Resistor_20k_1_0603</t>
  </si>
  <si>
    <t xml:space="preserve">Резистор номиналом 20 кОм 1%</t>
  </si>
  <si>
    <t xml:space="preserve">20 к</t>
  </si>
  <si>
    <t xml:space="preserve">RES_THT_025W_20k</t>
  </si>
  <si>
    <t xml:space="preserve">Resistor_22k_1_0603</t>
  </si>
  <si>
    <t xml:space="preserve">Резистор номиналом 22 кОм 1%</t>
  </si>
  <si>
    <t xml:space="preserve">22 к</t>
  </si>
  <si>
    <t xml:space="preserve">RES_THT_025W_22k</t>
  </si>
  <si>
    <t xml:space="preserve">Resistor_24k_1_0603</t>
  </si>
  <si>
    <t xml:space="preserve">Резистор номиналом 24 кОм 1%</t>
  </si>
  <si>
    <t xml:space="preserve">24 к</t>
  </si>
  <si>
    <t xml:space="preserve">Resistor_27k_1_0603</t>
  </si>
  <si>
    <t xml:space="preserve">Резистор номиналом 27 кОм 1%</t>
  </si>
  <si>
    <t xml:space="preserve">27 к</t>
  </si>
  <si>
    <t xml:space="preserve">Resistor_30k_1_0603</t>
  </si>
  <si>
    <t xml:space="preserve">Резистор номиналом 30 кОм 1%</t>
  </si>
  <si>
    <t xml:space="preserve">30 к</t>
  </si>
  <si>
    <t xml:space="preserve">Resistor_31.6k_1_0603</t>
  </si>
  <si>
    <t xml:space="preserve">Резистор номиналом 31,6 кОм 1%</t>
  </si>
  <si>
    <t xml:space="preserve">31,6 к</t>
  </si>
  <si>
    <t xml:space="preserve">Resistor_33k_1_0603</t>
  </si>
  <si>
    <t xml:space="preserve">Резистор номиналом 33 кОм 1%</t>
  </si>
  <si>
    <t xml:space="preserve">33 к</t>
  </si>
  <si>
    <t xml:space="preserve">Resistor_36k_1_0603</t>
  </si>
  <si>
    <t xml:space="preserve">Резистор номиналом 36 кОм 1%</t>
  </si>
  <si>
    <t xml:space="preserve">36 к</t>
  </si>
  <si>
    <t xml:space="preserve">Resistor_39k_1_0603</t>
  </si>
  <si>
    <t xml:space="preserve">Резистор номиналом 39 кОм 1%</t>
  </si>
  <si>
    <t xml:space="preserve">39 к</t>
  </si>
  <si>
    <t xml:space="preserve">Resistor_43k_1_0603</t>
  </si>
  <si>
    <t xml:space="preserve">Резистор номиналом 43 кОм 1%</t>
  </si>
  <si>
    <t xml:space="preserve">43 к</t>
  </si>
  <si>
    <t xml:space="preserve">Resistor_47k_1_0603</t>
  </si>
  <si>
    <t xml:space="preserve">Резистор номиналом 47 кОм 1%</t>
  </si>
  <si>
    <t xml:space="preserve">47 к</t>
  </si>
  <si>
    <t xml:space="preserve">Resistor_51k_1_0603</t>
  </si>
  <si>
    <t xml:space="preserve">Резистор номиналом 51 кОм 1%</t>
  </si>
  <si>
    <t xml:space="preserve">51 к</t>
  </si>
  <si>
    <t xml:space="preserve">Resistor_56k_1_0603</t>
  </si>
  <si>
    <t xml:space="preserve">Резистор номиналом 56 кОм 1%</t>
  </si>
  <si>
    <t xml:space="preserve">56 к</t>
  </si>
  <si>
    <t xml:space="preserve">Resistor_62k_1_0603</t>
  </si>
  <si>
    <t xml:space="preserve">Резистор номиналом 62 кОм 1%</t>
  </si>
  <si>
    <t xml:space="preserve">62 к</t>
  </si>
  <si>
    <t xml:space="preserve">Resistor_68k_1_0603</t>
  </si>
  <si>
    <t xml:space="preserve">Резистор номиналом 68 кОм 1%</t>
  </si>
  <si>
    <t xml:space="preserve">68 к</t>
  </si>
  <si>
    <t xml:space="preserve">Resistor_75k_1_0603</t>
  </si>
  <si>
    <t xml:space="preserve">Резистор номиналом 75 кОм 1%</t>
  </si>
  <si>
    <t xml:space="preserve">75 к</t>
  </si>
  <si>
    <t xml:space="preserve">Resistor_82k_1_0603</t>
  </si>
  <si>
    <t xml:space="preserve">Резистор номиналом 82 кОм 1%</t>
  </si>
  <si>
    <t xml:space="preserve">82 к</t>
  </si>
  <si>
    <t xml:space="preserve">Resistor_91k_1_0603</t>
  </si>
  <si>
    <t xml:space="preserve">Резистор номиналом 91 кОм 1%</t>
  </si>
  <si>
    <t xml:space="preserve">91 к</t>
  </si>
  <si>
    <t xml:space="preserve">Resistor_100k_1_0603</t>
  </si>
  <si>
    <t xml:space="preserve">Резистор номиналом 100 кОм 1%</t>
  </si>
  <si>
    <t xml:space="preserve">100 к</t>
  </si>
  <si>
    <t xml:space="preserve">RES_THT_025W_100k</t>
  </si>
  <si>
    <t xml:space="preserve">Resistor_110k_1_0603</t>
  </si>
  <si>
    <t xml:space="preserve">Резистор номиналом 110 кОм 1%</t>
  </si>
  <si>
    <t xml:space="preserve">110 к</t>
  </si>
  <si>
    <t xml:space="preserve">Resistor_120k_1_0603</t>
  </si>
  <si>
    <t xml:space="preserve">Резистор номиналом 120 кОм 1%</t>
  </si>
  <si>
    <t xml:space="preserve">120 к</t>
  </si>
  <si>
    <t xml:space="preserve">Resistor_130k_1_0603</t>
  </si>
  <si>
    <t xml:space="preserve">Резистор номиналом 130 кОм 1%</t>
  </si>
  <si>
    <t xml:space="preserve">130 к</t>
  </si>
  <si>
    <t xml:space="preserve">Resistor_150k_1_0603</t>
  </si>
  <si>
    <t xml:space="preserve">Резистор номиналом 150 кОм 1%</t>
  </si>
  <si>
    <t xml:space="preserve">150 к</t>
  </si>
  <si>
    <t xml:space="preserve">Resistor_160k_1_0603</t>
  </si>
  <si>
    <t xml:space="preserve">Резистор номиналом 160 кОм 1%</t>
  </si>
  <si>
    <t xml:space="preserve">160 к</t>
  </si>
  <si>
    <t xml:space="preserve">Resistor_180k_1_0603</t>
  </si>
  <si>
    <t xml:space="preserve">Резистор номиналом 180 кОм 1%</t>
  </si>
  <si>
    <t xml:space="preserve">180 к</t>
  </si>
  <si>
    <t xml:space="preserve">Resistor_200k_1_0603</t>
  </si>
  <si>
    <t xml:space="preserve">Резистор номиналом 200 кОм 1%</t>
  </si>
  <si>
    <t xml:space="preserve">200 к</t>
  </si>
  <si>
    <t xml:space="preserve">Resistor_220k_1_0603</t>
  </si>
  <si>
    <t xml:space="preserve">Резистор номиналом 220 кОм 1%</t>
  </si>
  <si>
    <t xml:space="preserve">220 к</t>
  </si>
  <si>
    <t xml:space="preserve">Resistor_240k_1_0603</t>
  </si>
  <si>
    <t xml:space="preserve">Резистор номиналом 240 кОм 1%</t>
  </si>
  <si>
    <t xml:space="preserve">240 к</t>
  </si>
  <si>
    <t xml:space="preserve">Resistor_270k_1_0603</t>
  </si>
  <si>
    <t xml:space="preserve">Резистор номиналом 270 кОм 1%</t>
  </si>
  <si>
    <t xml:space="preserve">270 к</t>
  </si>
  <si>
    <t xml:space="preserve">Resistor_300k_1_0603</t>
  </si>
  <si>
    <t xml:space="preserve">Резистор номиналом 300 кОм 1%</t>
  </si>
  <si>
    <t xml:space="preserve">300 к</t>
  </si>
  <si>
    <t xml:space="preserve">Resistor_330k_1_0603</t>
  </si>
  <si>
    <t xml:space="preserve">Резистор номиналом 330 кОм 1%</t>
  </si>
  <si>
    <t xml:space="preserve">330 к</t>
  </si>
  <si>
    <t xml:space="preserve">Resistor_360k_1_0603</t>
  </si>
  <si>
    <t xml:space="preserve">Резистор номиналом 360 кОм 1%</t>
  </si>
  <si>
    <t xml:space="preserve">360 к</t>
  </si>
  <si>
    <t xml:space="preserve">Resistor_390k_1_0603</t>
  </si>
  <si>
    <t xml:space="preserve">Резистор номиналом 390 кОм 1%</t>
  </si>
  <si>
    <t xml:space="preserve">390 к</t>
  </si>
  <si>
    <t xml:space="preserve">Resistor_430k_1_0603</t>
  </si>
  <si>
    <t xml:space="preserve">Резистор номиналом 430 кОм 1%</t>
  </si>
  <si>
    <t xml:space="preserve">430 к</t>
  </si>
  <si>
    <t xml:space="preserve">Resistor_470k_1_0603</t>
  </si>
  <si>
    <t xml:space="preserve">Резистор номиналом 470 кОм 1%</t>
  </si>
  <si>
    <t xml:space="preserve">470 к</t>
  </si>
  <si>
    <t xml:space="preserve">Resistor_510k_1_0603</t>
  </si>
  <si>
    <t xml:space="preserve">Резистор номиналом 510 кОм 1%</t>
  </si>
  <si>
    <t xml:space="preserve">510 к</t>
  </si>
  <si>
    <t xml:space="preserve">Resistor_560k_1_0603</t>
  </si>
  <si>
    <t xml:space="preserve">Резистор номиналом 560 кОм 1%</t>
  </si>
  <si>
    <t xml:space="preserve">560 к</t>
  </si>
  <si>
    <t xml:space="preserve">Resistor_620k_1_0603</t>
  </si>
  <si>
    <t xml:space="preserve">Резистор номиналом 620 кОм 1%</t>
  </si>
  <si>
    <t xml:space="preserve">620 к</t>
  </si>
  <si>
    <t xml:space="preserve">Resistor_680k_1_0603</t>
  </si>
  <si>
    <t xml:space="preserve">Резистор номиналом 680 кОм 1%</t>
  </si>
  <si>
    <t xml:space="preserve">680 к</t>
  </si>
  <si>
    <t xml:space="preserve">Resistor_750k_1_0603</t>
  </si>
  <si>
    <t xml:space="preserve">Резистор номиналом 750 кОм 1%</t>
  </si>
  <si>
    <t xml:space="preserve">750 к</t>
  </si>
  <si>
    <t xml:space="preserve">Resistor_820k_1_0603</t>
  </si>
  <si>
    <t xml:space="preserve">Резистор номиналом 820 кОм 1%</t>
  </si>
  <si>
    <t xml:space="preserve">820 к</t>
  </si>
  <si>
    <t xml:space="preserve">Resistor_910k_1_0603</t>
  </si>
  <si>
    <t xml:space="preserve">Резистор номиналом 910 кОм 1%</t>
  </si>
  <si>
    <t xml:space="preserve">910 к</t>
  </si>
  <si>
    <t xml:space="preserve">Resistor_1.0M_1_0603</t>
  </si>
  <si>
    <t xml:space="preserve">Резистор номиналом 1,0 МОм 1%</t>
  </si>
  <si>
    <t xml:space="preserve">1,0 М</t>
  </si>
  <si>
    <t xml:space="preserve">Resistor_1.1M_1_0603</t>
  </si>
  <si>
    <t xml:space="preserve">Резистор номиналом 1,1 МОм 1%</t>
  </si>
  <si>
    <t xml:space="preserve">1,1 М</t>
  </si>
  <si>
    <t xml:space="preserve">Resistor_1.2M_1_0603</t>
  </si>
  <si>
    <t xml:space="preserve">Резистор номиналом 1,2 МОм 1%</t>
  </si>
  <si>
    <t xml:space="preserve">1,2 М</t>
  </si>
  <si>
    <t xml:space="preserve">Resistor_1.3M_1_0603</t>
  </si>
  <si>
    <t xml:space="preserve">Резистор номиналом 1,3 МОм 1%</t>
  </si>
  <si>
    <t xml:space="preserve">1,3 М</t>
  </si>
  <si>
    <t xml:space="preserve">Resistor_1.5M_1_0603</t>
  </si>
  <si>
    <t xml:space="preserve">Резистор номиналом 1,5 МОм 1%</t>
  </si>
  <si>
    <t xml:space="preserve">1,5 М</t>
  </si>
  <si>
    <t xml:space="preserve">Resistor_1.6M_1_0603</t>
  </si>
  <si>
    <t xml:space="preserve">Резистор номиналом 1,6 МОм 1%</t>
  </si>
  <si>
    <t xml:space="preserve">1,6 М</t>
  </si>
  <si>
    <t xml:space="preserve">Resistor_1.8M_1_0603</t>
  </si>
  <si>
    <t xml:space="preserve">Резистор номиналом 1,8 МОм 1%</t>
  </si>
  <si>
    <t xml:space="preserve">1,8 М</t>
  </si>
  <si>
    <t xml:space="preserve">Resistor_2.0M_1_0603</t>
  </si>
  <si>
    <t xml:space="preserve">Резистор номиналом 2,0 МОм 1%</t>
  </si>
  <si>
    <t xml:space="preserve">2,0 М</t>
  </si>
  <si>
    <t xml:space="preserve">Resistor_2.2M_1_0603</t>
  </si>
  <si>
    <t xml:space="preserve">Резистор номиналом 2,2 МОм 1%</t>
  </si>
  <si>
    <t xml:space="preserve">2,2 М</t>
  </si>
  <si>
    <t xml:space="preserve">Resistor_2.4M_1_0603</t>
  </si>
  <si>
    <t xml:space="preserve">Резистор номиналом 2,4 МОм 1%</t>
  </si>
  <si>
    <t xml:space="preserve">2,4 М</t>
  </si>
  <si>
    <t xml:space="preserve">Resistor_2.7M_1_0603</t>
  </si>
  <si>
    <t xml:space="preserve">Резистор номиналом 2,7 МОм 1%</t>
  </si>
  <si>
    <t xml:space="preserve">2,7 М</t>
  </si>
  <si>
    <t xml:space="preserve">Resistor_3.0M_1_0603</t>
  </si>
  <si>
    <t xml:space="preserve">Резистор номиналом 3,0 МОм 1%</t>
  </si>
  <si>
    <t xml:space="preserve">3,0 М</t>
  </si>
  <si>
    <t xml:space="preserve">Resistor_3.3M_1_0603</t>
  </si>
  <si>
    <t xml:space="preserve">Резистор номиналом 3,3 МОм 1%</t>
  </si>
  <si>
    <t xml:space="preserve">3,3 М</t>
  </si>
  <si>
    <t xml:space="preserve">Resistor_3.6M_1_0603</t>
  </si>
  <si>
    <t xml:space="preserve">Резистор номиналом 3,6 МОм 1%</t>
  </si>
  <si>
    <t xml:space="preserve">3,6 М</t>
  </si>
  <si>
    <t xml:space="preserve">Resistor_3.9M_1_0603</t>
  </si>
  <si>
    <t xml:space="preserve">Резистор номиналом 3,9 МОм 1%</t>
  </si>
  <si>
    <t xml:space="preserve">3,9 М</t>
  </si>
  <si>
    <t xml:space="preserve">Resistor_4.3M_1_0603</t>
  </si>
  <si>
    <t xml:space="preserve">Резистор номиналом 4,3 МОм 1%</t>
  </si>
  <si>
    <t xml:space="preserve">4,3 М</t>
  </si>
  <si>
    <t xml:space="preserve">Resistor_4.7M_1_0603</t>
  </si>
  <si>
    <t xml:space="preserve">Резистор номиналом 4,7 МОм 1%</t>
  </si>
  <si>
    <t xml:space="preserve">4,7 М</t>
  </si>
  <si>
    <t xml:space="preserve">Resistor_5.1M_1_0603</t>
  </si>
  <si>
    <t xml:space="preserve">Резистор номиналом 5,1 МОм 1%</t>
  </si>
  <si>
    <t xml:space="preserve">5,1 М</t>
  </si>
  <si>
    <t xml:space="preserve">Resistor_5.6M_1_0603</t>
  </si>
  <si>
    <t xml:space="preserve">Резистор номиналом 5,6 МОм 1%</t>
  </si>
  <si>
    <t xml:space="preserve">5,6 М</t>
  </si>
  <si>
    <t xml:space="preserve">Resistor_6.2M_1_0603</t>
  </si>
  <si>
    <t xml:space="preserve">Резистор номиналом 6,2 МОм 1%</t>
  </si>
  <si>
    <t xml:space="preserve">6,2 М</t>
  </si>
  <si>
    <t xml:space="preserve">Resistor_6.8M_1_0603</t>
  </si>
  <si>
    <t xml:space="preserve">Резистор номиналом 6,8 МОм 1%</t>
  </si>
  <si>
    <t xml:space="preserve">6,8 М</t>
  </si>
  <si>
    <t xml:space="preserve">Resistor_7.5M_1_0603</t>
  </si>
  <si>
    <t xml:space="preserve">Резистор номиналом 7,5 МОм 1%</t>
  </si>
  <si>
    <t xml:space="preserve">7,5 М</t>
  </si>
  <si>
    <t xml:space="preserve">Resistor_8.2M_1_0603</t>
  </si>
  <si>
    <t xml:space="preserve">Резистор номиналом 8,2 МОм 1%</t>
  </si>
  <si>
    <t xml:space="preserve">8,2 М</t>
  </si>
  <si>
    <t xml:space="preserve">Resistor_9.1M_1_0603</t>
  </si>
  <si>
    <t xml:space="preserve">Резистор номиналом 9,1 МОм 1%</t>
  </si>
  <si>
    <t xml:space="preserve">9,1 М</t>
  </si>
  <si>
    <t xml:space="preserve">Resistor_10M_1_0603</t>
  </si>
  <si>
    <t xml:space="preserve">Резистор номиналом 10 МОм 1%</t>
  </si>
  <si>
    <t xml:space="preserve">10 М</t>
  </si>
  <si>
    <t xml:space="preserve">TC33X-2-102E</t>
  </si>
  <si>
    <t xml:space="preserve">Потенциометр керметный 1кОм 0.1Вт для поверхностного монтажа</t>
  </si>
  <si>
    <t xml:space="preserve">Schematic\trim_res.SchLib</t>
  </si>
  <si>
    <t xml:space="preserve">trim_res</t>
  </si>
  <si>
    <t xml:space="preserve">1 к</t>
  </si>
  <si>
    <t xml:space="preserve">Footprints/Resistors/3mm_trim.PcbLib</t>
  </si>
  <si>
    <t xml:space="preserve">3mm_trim</t>
  </si>
  <si>
    <t xml:space="preserve">TC33X-2-101E</t>
  </si>
  <si>
    <t xml:space="preserve">Потенциометр керметный 100 Ом 0.1Вт для поверхностного монтажа</t>
  </si>
  <si>
    <t xml:space="preserve">TC33X-2-503E</t>
  </si>
  <si>
    <t xml:space="preserve">Потенциометр однооборотный керметный 50кОм 0.1Вт ±25% SMD лента на катушке</t>
  </si>
  <si>
    <t xml:space="preserve">50 к</t>
  </si>
  <si>
    <t xml:space="preserve">CRE2512-FZ-R005E-3</t>
  </si>
  <si>
    <t xml:space="preserve">Резистор номиналом 5 мОм 1%, 3Вт</t>
  </si>
  <si>
    <t xml:space="preserve">5 м</t>
  </si>
  <si>
    <t xml:space="preserve">RL1210FR-070R01L</t>
  </si>
  <si>
    <t xml:space="preserve">Резистор номиналом 10 мОм 1%, 0.5Вт</t>
  </si>
  <si>
    <t xml:space="preserve">10 м</t>
  </si>
  <si>
    <t xml:space="preserve">res_0603_N/A</t>
  </si>
  <si>
    <t xml:space="preserve">посадочное место 0603 под перемычку</t>
  </si>
  <si>
    <t xml:space="preserve">N/A</t>
  </si>
  <si>
    <t xml:space="preserve">Resistor_0.22_1_2512</t>
  </si>
  <si>
    <t xml:space="preserve">Резистор номиналом 0,22 Ом 1%</t>
  </si>
  <si>
    <t xml:space="preserve">RC0603FR-072K49L</t>
  </si>
  <si>
    <t xml:space="preserve">0.1Вт 0603 2.49 кОм, 1%, Чип резистор</t>
  </si>
  <si>
    <t xml:space="preserve">2,49 к</t>
  </si>
  <si>
    <t xml:space="preserve">Resistor_1.0k_1_0402</t>
  </si>
  <si>
    <t xml:space="preserve">Footprints/Resistors/0402R.PcbLib</t>
  </si>
  <si>
    <t xml:space="preserve">0402R</t>
  </si>
  <si>
    <t xml:space="preserve">Resistor_4.7k_1_0402</t>
  </si>
  <si>
    <t xml:space="preserve">Resistor_470_1_0402</t>
  </si>
  <si>
    <t xml:space="preserve">Resistor_68_1_2512</t>
  </si>
  <si>
    <t xml:space="preserve">Resistor_33_1_2512</t>
  </si>
  <si>
    <t xml:space="preserve">Resistor_47_1_0805</t>
  </si>
  <si>
    <t xml:space="preserve">Footprints/Resistors/0805R.PcbLib</t>
  </si>
  <si>
    <t xml:space="preserve">0805R</t>
  </si>
  <si>
    <t xml:space="preserve">Resistor_1k_0805</t>
  </si>
  <si>
    <t xml:space="preserve">Резистор номиналом 1 кОм 1%</t>
  </si>
  <si>
    <t xml:space="preserve">Resistor_0_5_0603</t>
  </si>
  <si>
    <t xml:space="preserve">Резистор номиналом 0 Ом 5%</t>
  </si>
  <si>
    <t xml:space="preserve">0</t>
  </si>
  <si>
    <t xml:space="preserve">Resistor_120_1_1206</t>
  </si>
  <si>
    <t xml:space="preserve">HuiResistor_120_1_1207</t>
  </si>
  <si>
    <t xml:space="preserve">121</t>
  </si>
  <si>
    <t xml:space="preserve">1207R</t>
  </si>
  <si>
    <t xml:space="preserve">Current </t>
  </si>
  <si>
    <t xml:space="preserve">S2M</t>
  </si>
  <si>
    <t xml:space="preserve">Schematic\Rectifier_diode.schLib</t>
  </si>
  <si>
    <t xml:space="preserve">Rectifier_diode</t>
  </si>
  <si>
    <t xml:space="preserve">ES1D-E3/61T</t>
  </si>
  <si>
    <t xml:space="preserve">Диод 1A 200V</t>
  </si>
  <si>
    <t xml:space="preserve">Footprints\SMA.PcbLib</t>
  </si>
  <si>
    <t xml:space="preserve">1 А</t>
  </si>
  <si>
    <t xml:space="preserve">S1GFL</t>
  </si>
  <si>
    <t xml:space="preserve">Диод 400В 1A [SOD-123F]</t>
  </si>
  <si>
    <t xml:space="preserve">Footprints\SOD-123F.PcbLib</t>
  </si>
  <si>
    <t xml:space="preserve">SOD-123F</t>
  </si>
  <si>
    <t xml:space="preserve">https://static.chipdip.ru/lib/868/DOC011868843.pdf</t>
  </si>
  <si>
    <t xml:space="preserve">SMA4007</t>
  </si>
  <si>
    <t xml:space="preserve">https://static.chipdip.ru/lib/867/DOC050867185.pdf</t>
  </si>
  <si>
    <t xml:space="preserve">BAV99</t>
  </si>
  <si>
    <t xml:space="preserve">Диод импульсный, 2 х 0.2А, 70В, последовательное включение</t>
  </si>
  <si>
    <t xml:space="preserve">Schematic\Rectifier_diode_2.schLib</t>
  </si>
  <si>
    <t xml:space="preserve">Rectifier_diode_2</t>
  </si>
  <si>
    <t xml:space="preserve">0.2</t>
  </si>
  <si>
    <t xml:space="preserve">https://static.chipdip.ru/lib/931/DOC030931559.pdf</t>
  </si>
  <si>
    <t xml:space="preserve">Footprint Path 4</t>
  </si>
  <si>
    <t xml:space="preserve">Footprint Ref 4</t>
  </si>
  <si>
    <t xml:space="preserve">Footprint Path 5</t>
  </si>
  <si>
    <t xml:space="preserve">Footprint Ref 5</t>
  </si>
  <si>
    <t xml:space="preserve">Footprint Path 6</t>
  </si>
  <si>
    <t xml:space="preserve">Footprint Ref 6</t>
  </si>
  <si>
    <t xml:space="preserve">Footprint Path 7</t>
  </si>
  <si>
    <t xml:space="preserve">Footprint Ref 7</t>
  </si>
  <si>
    <t xml:space="preserve">Capacitor</t>
  </si>
  <si>
    <t xml:space="preserve">Конденсатор</t>
  </si>
  <si>
    <t xml:space="preserve">Schematic\Capacitor.SchLib</t>
  </si>
  <si>
    <t xml:space="preserve">0,1 мк</t>
  </si>
  <si>
    <t xml:space="preserve">Footprints\Capacitors\0603C.PcbLib</t>
  </si>
  <si>
    <t xml:space="preserve">0603C</t>
  </si>
  <si>
    <t xml:space="preserve">Footprints\Capacitors\0805C.PcbLib</t>
  </si>
  <si>
    <t xml:space="preserve">0805C</t>
  </si>
  <si>
    <t xml:space="preserve">Footprints\Capacitors\1210С.PcbLib</t>
  </si>
  <si>
    <t xml:space="preserve">1210С</t>
  </si>
  <si>
    <t xml:space="preserve">Capacitor_polar</t>
  </si>
  <si>
    <t xml:space="preserve">Полярный конденсатор</t>
  </si>
  <si>
    <t xml:space="preserve">Schematic\Capacitor_polar.SchLib</t>
  </si>
  <si>
    <t xml:space="preserve">4,7 мк</t>
  </si>
  <si>
    <t xml:space="preserve">Footprints\Capacitors\TC_A.PcbLib</t>
  </si>
  <si>
    <t xml:space="preserve">TC_A</t>
  </si>
  <si>
    <t xml:space="preserve">Footprints\Capacitors\TC_B.PcbLib</t>
  </si>
  <si>
    <t xml:space="preserve">TC_B</t>
  </si>
  <si>
    <t xml:space="preserve">Footprints\Capacitors\TC_C.PcbLib</t>
  </si>
  <si>
    <t xml:space="preserve">TC_C</t>
  </si>
  <si>
    <t xml:space="preserve">Footprints\Capacitors\TC_D.PcbLib</t>
  </si>
  <si>
    <t xml:space="preserve">TC_D</t>
  </si>
  <si>
    <t xml:space="preserve">Footprints\Capacitors\TC_E.PcbLib</t>
  </si>
  <si>
    <t xml:space="preserve">TC_E</t>
  </si>
  <si>
    <t xml:space="preserve">Footprints\Capacitors\RADIAL-2_8mm.PcbLib</t>
  </si>
  <si>
    <t xml:space="preserve">RADIAL-2_8mm</t>
  </si>
  <si>
    <t xml:space="preserve">Footprints\Capacitors\RADIAL-2_10mm.PcbLib</t>
  </si>
  <si>
    <t xml:space="preserve">RADIAL-2_10mm</t>
  </si>
  <si>
    <t xml:space="preserve">Dielectric</t>
  </si>
  <si>
    <t xml:space="preserve">Capacity (nF)</t>
  </si>
  <si>
    <t xml:space="preserve">Capacitor_0,01n_10_50V_X7R_0603C</t>
  </si>
  <si>
    <t xml:space="preserve">0,01 н</t>
  </si>
  <si>
    <t xml:space="preserve">10%</t>
  </si>
  <si>
    <t xml:space="preserve">X7R</t>
  </si>
  <si>
    <t xml:space="preserve">0,01</t>
  </si>
  <si>
    <t xml:space="preserve">Capacitor_100p_10_50V_X7R_0603C</t>
  </si>
  <si>
    <t xml:space="preserve">100 п</t>
  </si>
  <si>
    <t xml:space="preserve">0,1</t>
  </si>
  <si>
    <t xml:space="preserve">Capacitor_0,15n_10_50V_X7R_0603C</t>
  </si>
  <si>
    <t xml:space="preserve">0,15 н</t>
  </si>
  <si>
    <t xml:space="preserve">0,15</t>
  </si>
  <si>
    <t xml:space="preserve">Capacitor_0,75n_10_50V_X7R_0603C</t>
  </si>
  <si>
    <t xml:space="preserve">0,75 н</t>
  </si>
  <si>
    <t xml:space="preserve">0,75</t>
  </si>
  <si>
    <t xml:space="preserve">Capacitor_1n_10_50V_X7R_0603C</t>
  </si>
  <si>
    <t xml:space="preserve">1 н</t>
  </si>
  <si>
    <t xml:space="preserve">Capacitor_1,2n_10_50V_X7R_0603C</t>
  </si>
  <si>
    <t xml:space="preserve">1,2 н</t>
  </si>
  <si>
    <t xml:space="preserve">Capacitor_1,5n_10_50V_X7R_0603C</t>
  </si>
  <si>
    <t xml:space="preserve">1,5 н</t>
  </si>
  <si>
    <t xml:space="preserve">Capacitor_1,8n_10_50V_X7R_0603C</t>
  </si>
  <si>
    <t xml:space="preserve">1,8 н</t>
  </si>
  <si>
    <t xml:space="preserve">Capacitor_2,2n_10_50V_X7R_0603C</t>
  </si>
  <si>
    <t xml:space="preserve">2,2 н</t>
  </si>
  <si>
    <t xml:space="preserve">Capacitor_2,7n_10_50V_X7R_0603C</t>
  </si>
  <si>
    <t xml:space="preserve">2,7 н</t>
  </si>
  <si>
    <t xml:space="preserve">Capacitor_3,3n_10_50V_X7R_0603C</t>
  </si>
  <si>
    <t xml:space="preserve">3,3 н</t>
  </si>
  <si>
    <t xml:space="preserve">Capacitor_3,9n_10_50V_X7R_0603C</t>
  </si>
  <si>
    <t xml:space="preserve">3,9 н</t>
  </si>
  <si>
    <t xml:space="preserve">Capacitor_4,7n_10_50V_X7R_0603C</t>
  </si>
  <si>
    <t xml:space="preserve">4,7 н</t>
  </si>
  <si>
    <t xml:space="preserve">Capacitor_5,6n_10_50V_X7R_0603C</t>
  </si>
  <si>
    <t xml:space="preserve">5,6 н</t>
  </si>
  <si>
    <t xml:space="preserve">Capacitor_6,8n_10_50V_X7R_0603C</t>
  </si>
  <si>
    <t xml:space="preserve">6,8 н</t>
  </si>
  <si>
    <t xml:space="preserve">Capacitor_8,2n_10_50V_X7R_0603C</t>
  </si>
  <si>
    <t xml:space="preserve">8,2 н</t>
  </si>
  <si>
    <t xml:space="preserve">Capacitor_10n_10_50V_X7R_0603C</t>
  </si>
  <si>
    <t xml:space="preserve">10 н</t>
  </si>
  <si>
    <t xml:space="preserve">Capacitor_12n_10_50V_X7R_0603C</t>
  </si>
  <si>
    <t xml:space="preserve">12 н</t>
  </si>
  <si>
    <t xml:space="preserve">Capacitor_15n_10_50V_X7R_0603C</t>
  </si>
  <si>
    <t xml:space="preserve">15 н</t>
  </si>
  <si>
    <t xml:space="preserve">Capacitor_18n_10_50V_X7R_0603C</t>
  </si>
  <si>
    <t xml:space="preserve">18 н</t>
  </si>
  <si>
    <t xml:space="preserve">Capacitor_22n_10_50V_X7R_0603C</t>
  </si>
  <si>
    <t xml:space="preserve">22 н</t>
  </si>
  <si>
    <t xml:space="preserve">Capacitor_27n_10_50V_X7R_0603C</t>
  </si>
  <si>
    <t xml:space="preserve">27 н</t>
  </si>
  <si>
    <t xml:space="preserve">Capacitor_33n_10_50V_X7R_0603C</t>
  </si>
  <si>
    <t xml:space="preserve">33 н</t>
  </si>
  <si>
    <t xml:space="preserve">Capacitor_39n_10_50V_X7R_0603C</t>
  </si>
  <si>
    <t xml:space="preserve">39 н</t>
  </si>
  <si>
    <t xml:space="preserve">Capacitor_47n_10_50V_X7R_0603C</t>
  </si>
  <si>
    <t xml:space="preserve">47 н</t>
  </si>
  <si>
    <t xml:space="preserve">Capacitor_56n_10_50V_X7R_0603C</t>
  </si>
  <si>
    <t xml:space="preserve">56 н</t>
  </si>
  <si>
    <t xml:space="preserve">Capacitor_68n_10_50V_X7R_0603C</t>
  </si>
  <si>
    <t xml:space="preserve">68 н</t>
  </si>
  <si>
    <t xml:space="preserve">Capacitor_82n_10_50V_X7R_0603C</t>
  </si>
  <si>
    <t xml:space="preserve">82 н</t>
  </si>
  <si>
    <t xml:space="preserve">Capacitor_0,1u_10_50V_X7R_0603C</t>
  </si>
  <si>
    <t xml:space="preserve">Capacitor_0,12u_10_50V_X7R_0603C</t>
  </si>
  <si>
    <t xml:space="preserve">0,12 мк</t>
  </si>
  <si>
    <t xml:space="preserve">Capacitor_0,15u_10_50V_X7R_0603C</t>
  </si>
  <si>
    <t xml:space="preserve">0,15 мк</t>
  </si>
  <si>
    <t xml:space="preserve">Capacitor_0,18u_10_50V_X7R_0603C</t>
  </si>
  <si>
    <t xml:space="preserve">0,18 мк</t>
  </si>
  <si>
    <t xml:space="preserve">Capacitor_0,22u_10_50V_X7R_0603C</t>
  </si>
  <si>
    <t xml:space="preserve">0,22 мк</t>
  </si>
  <si>
    <t xml:space="preserve">Capacitor_0,27u_10_50V_X7R_0603C</t>
  </si>
  <si>
    <t xml:space="preserve">0,27 мк</t>
  </si>
  <si>
    <t xml:space="preserve">Capacitor_0,33u_10_50V_X7R_0603C</t>
  </si>
  <si>
    <t xml:space="preserve">0,33 мк</t>
  </si>
  <si>
    <t xml:space="preserve">Capacitor_0,39u_10_50V_X7R_0603C</t>
  </si>
  <si>
    <t xml:space="preserve">0,39 мк</t>
  </si>
  <si>
    <t xml:space="preserve">Capacitor_0,47u_10_50V_X7R_0603C</t>
  </si>
  <si>
    <t xml:space="preserve">0,47 мк</t>
  </si>
  <si>
    <t xml:space="preserve">Capacitor_0,56u_10_50V_X7R_0603C</t>
  </si>
  <si>
    <t xml:space="preserve">0,56 мк</t>
  </si>
  <si>
    <t xml:space="preserve">Capacitor_0,68u_10_50V_X7R_0603C</t>
  </si>
  <si>
    <t xml:space="preserve">0,68 мк</t>
  </si>
  <si>
    <t xml:space="preserve">Capacitor_0,82u_10_50V_X7R_0603C</t>
  </si>
  <si>
    <t xml:space="preserve">0,82 мк</t>
  </si>
  <si>
    <t xml:space="preserve">Capacitor_1u_10_25V_X7R_0603C</t>
  </si>
  <si>
    <t xml:space="preserve">1 мк</t>
  </si>
  <si>
    <t xml:space="preserve">25</t>
  </si>
  <si>
    <t xml:space="preserve">Capacitor_2,2u_10_50V_X7R_1206C</t>
  </si>
  <si>
    <t xml:space="preserve">2,2 мк</t>
  </si>
  <si>
    <t xml:space="preserve">Footprints\Capacitors\1206C.PcbLib</t>
  </si>
  <si>
    <t xml:space="preserve">1206C</t>
  </si>
  <si>
    <t xml:space="preserve">2200</t>
  </si>
  <si>
    <t xml:space="preserve">Capacitor_4,7u_10_50V_X7R_1206C</t>
  </si>
  <si>
    <t xml:space="preserve">Capacitor_10u_10_35V_X7R_1210C</t>
  </si>
  <si>
    <t xml:space="preserve">10 мк</t>
  </si>
  <si>
    <t xml:space="preserve">Footprints\Capacitors\1210C.PcbLib</t>
  </si>
  <si>
    <t xml:space="preserve">1210C</t>
  </si>
  <si>
    <t xml:space="preserve">Capacitor_22u_10_25V_X7R_1210C</t>
  </si>
  <si>
    <t xml:space="preserve">22 мк</t>
  </si>
  <si>
    <t xml:space="preserve">Capacitor_0,1u_10_1000V_X7R_1812C</t>
  </si>
  <si>
    <t xml:space="preserve">Footprints\Capacitors\1812C.PcbLib</t>
  </si>
  <si>
    <t xml:space="preserve">1812C</t>
  </si>
  <si>
    <t xml:space="preserve">Capacitor_1n_10_1000V_X7R_1206C</t>
  </si>
  <si>
    <t xml:space="preserve">1н</t>
  </si>
  <si>
    <t xml:space="preserve">1</t>
  </si>
  <si>
    <t xml:space="preserve">https://static.chipdip.ru/lib/245/DOC027245978.pdf</t>
  </si>
  <si>
    <t xml:space="preserve">GRM1885C1H220J</t>
  </si>
  <si>
    <t xml:space="preserve">22п</t>
  </si>
  <si>
    <t xml:space="preserve">5%</t>
  </si>
  <si>
    <t xml:space="preserve">50</t>
  </si>
  <si>
    <t xml:space="preserve">NP0</t>
  </si>
  <si>
    <t xml:space="preserve">0,022</t>
  </si>
  <si>
    <t xml:space="preserve">https://cdn.promelec.ru/upload/items/2020/02/18/MURATA_MLCC_catalog_C02E_short_.pdf</t>
  </si>
  <si>
    <t xml:space="preserve">Capacitor_0,1u_10_16V_X7R_0603C</t>
  </si>
  <si>
    <t xml:space="preserve">Footprints\Capacitors\0402C.PcbLib</t>
  </si>
  <si>
    <t xml:space="preserve">0402C</t>
  </si>
  <si>
    <t xml:space="preserve">CC1210MKX5R7BB107</t>
  </si>
  <si>
    <t xml:space="preserve">100 мк</t>
  </si>
  <si>
    <t xml:space="preserve">20%</t>
  </si>
  <si>
    <t xml:space="preserve">X5R</t>
  </si>
  <si>
    <t xml:space="preserve">100000</t>
  </si>
  <si>
    <t xml:space="preserve">https://cdn.promelec.ru/upload/datasheet/3/9/UPY-GPHC_X5R_4V-to-50V_25.pdf</t>
  </si>
  <si>
    <t xml:space="preserve">GRM31CR61E476ME44L</t>
  </si>
  <si>
    <t xml:space="preserve">47 мк</t>
  </si>
  <si>
    <t xml:space="preserve">47000</t>
  </si>
  <si>
    <t xml:space="preserve">Capacitor_1n_5_50V_NP0_0603C</t>
  </si>
  <si>
    <t xml:space="preserve">Capacitor_3.3n_5_50V_NP0_0603C</t>
  </si>
  <si>
    <t xml:space="preserve">Capacitor_10u_10_10V_X7R_0603C</t>
  </si>
  <si>
    <t xml:space="preserve">https://static.chipdip.ru/lib/893/DOC031893419.pdf</t>
  </si>
  <si>
    <t xml:space="preserve">Capacitor_12p_5_50V_NP0_0603C</t>
  </si>
  <si>
    <t xml:space="preserve">12 п</t>
  </si>
  <si>
    <t xml:space="preserve">0,012</t>
  </si>
  <si>
    <t xml:space="preserve">Capacitor_100p_5_630V_NP0_1206C</t>
  </si>
  <si>
    <t xml:space="preserve">630</t>
  </si>
  <si>
    <t xml:space="preserve">Type</t>
  </si>
  <si>
    <t xml:space="preserve">Capacity (uF)</t>
  </si>
  <si>
    <t xml:space="preserve">Capacitor_1u_10_50V_TC_A</t>
  </si>
  <si>
    <t xml:space="preserve">Танталовый конденсатор</t>
  </si>
  <si>
    <t xml:space="preserve">Tantalum</t>
  </si>
  <si>
    <t xml:space="preserve">Capacitor_1,5u_10_50V_TC_A</t>
  </si>
  <si>
    <t xml:space="preserve">1,5 мк</t>
  </si>
  <si>
    <t xml:space="preserve">Capacitor_2,2u_10_50V_TC_A</t>
  </si>
  <si>
    <t xml:space="preserve">Capacitor_3,3u_10_50V_TC_A</t>
  </si>
  <si>
    <t xml:space="preserve">3,3 мк</t>
  </si>
  <si>
    <t xml:space="preserve">Capacitor_4,7u_10_50V_TC_A</t>
  </si>
  <si>
    <t xml:space="preserve">Capacitor_6,8u_10_50V_TC_A</t>
  </si>
  <si>
    <t xml:space="preserve">6,8 мк</t>
  </si>
  <si>
    <t xml:space="preserve">Capacitor_10u_10_50V_TC_A</t>
  </si>
  <si>
    <t xml:space="preserve">Capacitor_15u_10_50V_TC_A</t>
  </si>
  <si>
    <t xml:space="preserve">15 мк</t>
  </si>
  <si>
    <t xml:space="preserve">Capacitor_22u_10_50V_TC_A</t>
  </si>
  <si>
    <t xml:space="preserve">Capacitor_33u_10_50V_TC_A</t>
  </si>
  <si>
    <t xml:space="preserve">33 мк</t>
  </si>
  <si>
    <t xml:space="preserve">Capacitor_47u_10_50V_TC_A</t>
  </si>
  <si>
    <t xml:space="preserve">Capacitor_68u_10_50V_TC_A</t>
  </si>
  <si>
    <t xml:space="preserve">68 мк</t>
  </si>
  <si>
    <t xml:space="preserve">Capacitor_100u_10_50V_TC_A</t>
  </si>
  <si>
    <t xml:space="preserve">Capacitor_150u_10_50V_TC_A</t>
  </si>
  <si>
    <t xml:space="preserve">150 мк</t>
  </si>
  <si>
    <t xml:space="preserve">Capacitor_220u_10_50V_TC_A</t>
  </si>
  <si>
    <t xml:space="preserve">220 мк</t>
  </si>
  <si>
    <t xml:space="preserve">Capacitor_330u_10_50V_TC_A</t>
  </si>
  <si>
    <t xml:space="preserve">330 мк</t>
  </si>
  <si>
    <t xml:space="preserve">Capacitor_470u_10_50V_TC_A</t>
  </si>
  <si>
    <t xml:space="preserve">470 мк</t>
  </si>
  <si>
    <t xml:space="preserve">Capacitor_680u_10_50V_TC_A</t>
  </si>
  <si>
    <t xml:space="preserve">680 мк</t>
  </si>
  <si>
    <t xml:space="preserve">Capacitor_1000u_10_50V_TC_A</t>
  </si>
  <si>
    <t xml:space="preserve">1000 мк</t>
  </si>
  <si>
    <t xml:space="preserve">Capacitor_2200u_10V_10x20</t>
  </si>
  <si>
    <t xml:space="preserve">Конденсатор радиальный 2200мкФ 10В ±20% 10*19</t>
  </si>
  <si>
    <t xml:space="preserve">2200 мк</t>
  </si>
  <si>
    <t xml:space="preserve">Aluminum</t>
  </si>
  <si>
    <t xml:space="preserve">Footprints\Capacitors\10x20_radial.PcbLib</t>
  </si>
  <si>
    <t xml:space="preserve">10x20_radial</t>
  </si>
  <si>
    <t xml:space="preserve">Footprints\Capacitors\10x20_radial_angular.PcbLib</t>
  </si>
  <si>
    <t xml:space="preserve">10x20_radial_angular</t>
  </si>
  <si>
    <t xml:space="preserve">EEVFK1E102Q</t>
  </si>
  <si>
    <t xml:space="preserve">Конденсатор алюминиевый электролитический 1000мкФ 25В 20% Low ESR 1100мА SMD12.5x13.5мм</t>
  </si>
  <si>
    <t xml:space="preserve">SMD Aluminum</t>
  </si>
  <si>
    <t xml:space="preserve">Footprints\Capacitors\SMD_cap_12,5x13,5.PcbLib</t>
  </si>
  <si>
    <t xml:space="preserve">SMD_cap_12,5x13,5</t>
  </si>
  <si>
    <t xml:space="preserve">EEVFK1V102M</t>
  </si>
  <si>
    <t xml:space="preserve">Footprints\Capacitors\CAP_EEVFK1V102M.PcbLib</t>
  </si>
  <si>
    <t xml:space="preserve">CAP_EEVFK1V102M</t>
  </si>
  <si>
    <t xml:space="preserve">JRB2G3R3M03500800120000B</t>
  </si>
  <si>
    <t xml:space="preserve">К50-35, 3.3мкФ, 400В, 105°C, 20%, 8x12мм P:3.5мм</t>
  </si>
  <si>
    <t xml:space="preserve">3.3 мк</t>
  </si>
  <si>
    <t xml:space="preserve">Footprints\Capacitors\8x12_radial.PcbLib</t>
  </si>
  <si>
    <t xml:space="preserve">8x12_radial</t>
  </si>
  <si>
    <t xml:space="preserve">Footprints\Capacitors\8x12_radial_angular.PcbLib</t>
  </si>
  <si>
    <t xml:space="preserve">8x12_radial_angular</t>
  </si>
  <si>
    <t xml:space="preserve">JCCON 2700uF 400V</t>
  </si>
  <si>
    <t xml:space="preserve">Конденсатор алюминиевый электролитический 2700мкФ 400В 20% </t>
  </si>
  <si>
    <t xml:space="preserve">2700 мк</t>
  </si>
  <si>
    <t xml:space="preserve">Footprints\Capacitors\42x103_radial.PcbLib</t>
  </si>
  <si>
    <t xml:space="preserve">42x103_radial</t>
  </si>
  <si>
    <t xml:space="preserve">JCK1V331</t>
  </si>
  <si>
    <t xml:space="preserve">Footprints\Capacitors\ECAP_SMD_10,3x10,3.PcbLib</t>
  </si>
  <si>
    <t xml:space="preserve">ECAP_SMD_10,3x10,3</t>
  </si>
  <si>
    <t xml:space="preserve">JCK1V101</t>
  </si>
  <si>
    <t xml:space="preserve">Конденсатор алюминиевый электролитический 100мкФ 35В 20% SMD 6,6x6,6 мм</t>
  </si>
  <si>
    <t xml:space="preserve">Footprints\Capacitors\ECAP_SMD_6,6x6,6.PcbLib</t>
  </si>
  <si>
    <t xml:space="preserve">ECAP_SMD_6,6x6,6</t>
  </si>
  <si>
    <t xml:space="preserve">CK016M471G10PKKKV00R</t>
  </si>
  <si>
    <t xml:space="preserve">Конденсатор алюминиевый электролитический 470мкФ 16В ±20% (10х10)мм SMD 460мА 2000часов 105°C</t>
  </si>
  <si>
    <t xml:space="preserve">https://cdn.promelec.ru/upload/items/2023/12/25/suscon-ck.pdf</t>
  </si>
  <si>
    <t xml:space="preserve">35SVPF120M</t>
  </si>
  <si>
    <t xml:space="preserve">Полимерный алюминиевый конденсатор 120мкФ 35В 10x12,6мм 4400мА 5000часов 105°C</t>
  </si>
  <si>
    <t xml:space="preserve">120 мк</t>
  </si>
  <si>
    <t xml:space="preserve">Footprints\Capacitors\CAP_SMD_10x12,7.PcbLib</t>
  </si>
  <si>
    <t xml:space="preserve">CAP_SMD_10x12,7</t>
  </si>
  <si>
    <t xml:space="preserve">https://cdn.promelec.ru/upload/datasheet/6/a/AAB8000C177.pdf</t>
  </si>
  <si>
    <t xml:space="preserve">50SVPF68M</t>
  </si>
  <si>
    <t xml:space="preserve">Конденсатор алюминиевый полимерный 68мкФ 50В ±20% (10х12.6мм) для поверхностного монтажа 0.02Ом 4300мА 5000час 105°С</t>
  </si>
  <si>
    <t xml:space="preserve">http://cdn.promelec.ru/upload/items/2022/11/10/SVPF-Series_.pdf</t>
  </si>
  <si>
    <r>
      <rPr>
        <sz val="12"/>
        <color rgb="FF000000"/>
        <rFont val="Calibri"/>
        <family val="2"/>
        <charset val="1"/>
      </rPr>
      <t xml:space="preserve">Inductance (</t>
    </r>
    <r>
      <rPr>
        <sz val="12"/>
        <color rgb="FF000000"/>
        <rFont val="Calibri"/>
        <family val="2"/>
        <charset val="204"/>
      </rPr>
      <t xml:space="preserve">μ</t>
    </r>
    <r>
      <rPr>
        <sz val="12"/>
        <color rgb="FF000000"/>
        <rFont val="Calibri"/>
        <family val="2"/>
        <charset val="1"/>
      </rPr>
      <t xml:space="preserve">H)</t>
    </r>
  </si>
  <si>
    <t xml:space="preserve">Inductance</t>
  </si>
  <si>
    <t xml:space="preserve">Катушка индуктивности</t>
  </si>
  <si>
    <t xml:space="preserve">Schematic\Inductance.SchLib</t>
  </si>
  <si>
    <t xml:space="preserve">0603L</t>
  </si>
  <si>
    <t xml:space="preserve">1210L</t>
  </si>
  <si>
    <t xml:space="preserve">1212L</t>
  </si>
  <si>
    <t xml:space="preserve">12.8x12.8</t>
  </si>
  <si>
    <t xml:space="preserve">IHLP4040DZER330M11</t>
  </si>
  <si>
    <t xml:space="preserve">ЧИП-индуктивность экранированная 33мкГн ±20% 4,4A 94,5мОм 4040</t>
  </si>
  <si>
    <t xml:space="preserve">IHLP-4040</t>
  </si>
  <si>
    <t xml:space="preserve">4,4 А</t>
  </si>
  <si>
    <t xml:space="preserve">B82472G6683M</t>
  </si>
  <si>
    <t xml:space="preserve">7.3x7.3</t>
  </si>
  <si>
    <t xml:space="preserve">0,82 А</t>
  </si>
  <si>
    <t xml:space="preserve">IHLP2525CZER4R7M01</t>
  </si>
  <si>
    <t xml:space="preserve">ЧИП-индуктивность экранированная 4,7мкГн ±20% 5,5A 40мОм 2525</t>
  </si>
  <si>
    <t xml:space="preserve">IHLP-2525</t>
  </si>
  <si>
    <t xml:space="preserve">5,5 А</t>
  </si>
  <si>
    <t xml:space="preserve">IHLP4040DZER220M11</t>
  </si>
  <si>
    <t xml:space="preserve">ЧИП-индуктивность экранированная 22мкГн ±20% 5A 66мОм 4040 лента на катушке</t>
  </si>
  <si>
    <t xml:space="preserve">B82462G4223M</t>
  </si>
  <si>
    <t xml:space="preserve">ЧИП-индуктивность 22мкГн, 1.05A, ±20% </t>
  </si>
  <si>
    <t xml:space="preserve">B82462G4</t>
  </si>
  <si>
    <t xml:space="preserve">1,05 А</t>
  </si>
  <si>
    <t xml:space="preserve">CSAB0530-R33M</t>
  </si>
  <si>
    <t xml:space="preserve">ЧИП-индуктивность 0.33мкГн, 15A, ±20% </t>
  </si>
  <si>
    <t xml:space="preserve">CSAB0530</t>
  </si>
  <si>
    <t xml:space="preserve">15 А</t>
  </si>
  <si>
    <t xml:space="preserve">B82477R4683M100</t>
  </si>
  <si>
    <t xml:space="preserve">12.5x12.5</t>
  </si>
  <si>
    <t xml:space="preserve">2,65 А</t>
  </si>
  <si>
    <t xml:space="preserve">SDR0403-120ML</t>
  </si>
  <si>
    <t xml:space="preserve">4.5x4_wired</t>
  </si>
  <si>
    <t xml:space="preserve">M20VN</t>
  </si>
  <si>
    <t xml:space="preserve">Накопительная индуктивность для обратноходового преобразователя, L1=1.2uH, магнитопровод М20ВН, 20х10х5, первичная обмотка d1.3мм</t>
  </si>
  <si>
    <t xml:space="preserve">М20ВН 20х10х5</t>
  </si>
  <si>
    <t xml:space="preserve">Schematic\Transformer_M20VN.SchLib</t>
  </si>
  <si>
    <t xml:space="preserve">1.2 мк</t>
  </si>
  <si>
    <t xml:space="preserve">IHLP4040DZER470M11</t>
  </si>
  <si>
    <t xml:space="preserve">ЧИП-индуктивность экранированная 47мкГн ±20% 3,3A 145мОм 4040</t>
  </si>
  <si>
    <t xml:space="preserve">3,3 А</t>
  </si>
  <si>
    <t xml:space="preserve">IHLP4040DZER101M11</t>
  </si>
  <si>
    <t xml:space="preserve">ЧИП-индуктивность экранированная 100мкГн ±20% 2,5A 270мОм 4040</t>
  </si>
  <si>
    <t xml:space="preserve">HV_trans</t>
  </si>
  <si>
    <t xml:space="preserve">Импульсный трансформатор для поджига вспышки</t>
  </si>
  <si>
    <t xml:space="preserve">Schematic\HV_trans.SchLib</t>
  </si>
  <si>
    <t xml:space="preserve">EE16_transformer</t>
  </si>
  <si>
    <t xml:space="preserve">10000 А</t>
  </si>
  <si>
    <t xml:space="preserve">CDSPRH127-150M</t>
  </si>
  <si>
    <t xml:space="preserve">Индуктивность на 15 мкГн, номинальный ток 8,4 А</t>
  </si>
  <si>
    <t xml:space="preserve">SPRH127</t>
  </si>
  <si>
    <t xml:space="preserve">8,4 А</t>
  </si>
  <si>
    <t xml:space="preserve">CDSP43-1R0M</t>
  </si>
  <si>
    <t xml:space="preserve">4,3 А</t>
  </si>
  <si>
    <t xml:space="preserve">CDSPRH127-331M</t>
  </si>
  <si>
    <t xml:space="preserve">1,79 А</t>
  </si>
  <si>
    <t xml:space="preserve">SP43-150K</t>
  </si>
  <si>
    <t xml:space="preserve">Индуктивность на 15 мкГн, номинальный ток 1,3 А</t>
  </si>
  <si>
    <t xml:space="preserve">SP43</t>
  </si>
  <si>
    <t xml:space="preserve">1,3 А</t>
  </si>
  <si>
    <t xml:space="preserve">B82472G6472M</t>
  </si>
  <si>
    <t xml:space="preserve">Индуктивность на 4,7 мкГн, номинальный ток 2,5 А</t>
  </si>
  <si>
    <t xml:space="preserve">2,5 А</t>
  </si>
  <si>
    <t xml:space="preserve">CDRH6D12NP-2R2NC</t>
  </si>
  <si>
    <t xml:space="preserve">Индуктивность на 2,2 мкГн, номинальный ток 2,5 А</t>
  </si>
  <si>
    <t xml:space="preserve">Schematic\Inductance_1-3.SchLib</t>
  </si>
  <si>
    <t xml:space="preserve">Inductance_1-3</t>
  </si>
  <si>
    <t xml:space="preserve">CDRH6D12</t>
  </si>
  <si>
    <t xml:space="preserve">GP2426SR</t>
  </si>
  <si>
    <t xml:space="preserve">Телекоммуникационный трансформатор 100/1000 Base-T +POE+, 1CT:1CT, DCR=1.5Ohm MAX, изоляция 1500В, 24SMD</t>
  </si>
  <si>
    <t xml:space="preserve">Schematic\trans_1000base_t.SchLib</t>
  </si>
  <si>
    <t xml:space="preserve">trans_1000base_t</t>
  </si>
  <si>
    <t xml:space="preserve">0,0 А</t>
  </si>
  <si>
    <t xml:space="preserve">350 мк</t>
  </si>
  <si>
    <t xml:space="preserve">CDSP43-2R2M</t>
  </si>
  <si>
    <t xml:space="preserve">Катушка индуктивности SMD 2.2мкГн ±10%, 3.95A, ,не экранированная 4.5*4.3*3.2мм</t>
  </si>
  <si>
    <t xml:space="preserve">4,2 А</t>
  </si>
  <si>
    <t xml:space="preserve">https://static.chipdip.ru/lib/768/DOC047768866.pdf</t>
  </si>
  <si>
    <t xml:space="preserve">IHLP2020BZER2R2M01</t>
  </si>
  <si>
    <t xml:space="preserve">Катушка индуктивности SMD экранированная 2,2мкГн ±20% 4,2A 50,1мОм 2020 лента на катушке</t>
  </si>
  <si>
    <t xml:space="preserve">IHLP-2020</t>
  </si>
  <si>
    <t xml:space="preserve">4,5 А</t>
  </si>
  <si>
    <t xml:space="preserve">https://cdn.promelec.ru/upload/datasheet/0/8/ihlp-2020bz-01.pdf</t>
  </si>
  <si>
    <t xml:space="preserve">B78476A8065A003</t>
  </si>
  <si>
    <t xml:space="preserve">Телекоммуникационный трансформатор, 10/100Base-T 1CT:1CT, 16 выводов, 12.7x6.9x5.6mm</t>
  </si>
  <si>
    <t xml:space="preserve">Schematic\B78476A8065A003.SchLib</t>
  </si>
  <si>
    <t xml:space="preserve">https://cdn.promelec.ru/upload/datasheet/8/0/B78476A8065A003.pdf</t>
  </si>
  <si>
    <t xml:space="preserve">MPXV1D1250L150</t>
  </si>
  <si>
    <t xml:space="preserve">Катушка индуктивности 15мкГн ±20% 8.2A 30.8мОм</t>
  </si>
  <si>
    <t xml:space="preserve">MPXV1D1250</t>
  </si>
  <si>
    <t xml:space="preserve">8,2 А</t>
  </si>
  <si>
    <t xml:space="preserve">static.chipdip.ru/lib/674/DOC011674595.pdf</t>
  </si>
  <si>
    <t xml:space="preserve">H5120NLT</t>
  </si>
  <si>
    <t xml:space="preserve">Телекоммуникационный трансформатор 10/100/1000 Base-T, 1CT:1CT, изоляция 1500В</t>
  </si>
  <si>
    <t xml:space="preserve">Schematic\trans_1000base_t_2.SchLib</t>
  </si>
  <si>
    <t xml:space="preserve">trans_1000base_t_2</t>
  </si>
  <si>
    <t xml:space="preserve">cdn.promelec.ru/upload/items/2024/01/29/H5120NL_.pdf</t>
  </si>
  <si>
    <t xml:space="preserve">IHLP4040DZER150M11</t>
  </si>
  <si>
    <t xml:space="preserve">Катушка индуктивности SMD экранированная 15мкГн ±20% 6,25A 45мОм</t>
  </si>
  <si>
    <t xml:space="preserve">6,25 А</t>
  </si>
  <si>
    <t xml:space="preserve">cdn.promelec.ru/upload/datasheet/1/f/lp40dz11.pdf</t>
  </si>
  <si>
    <t xml:space="preserve">Transformer_RM8</t>
  </si>
  <si>
    <t xml:space="preserve">Трансформатор на сердечнике RM8</t>
  </si>
  <si>
    <t xml:space="preserve">Schematic\Transformer_RM8.SchLib</t>
  </si>
  <si>
    <t xml:space="preserve">RM8_trans</t>
  </si>
  <si>
    <t xml:space="preserve">https://static.chipdip.ru/lib/153/DOC004153919.pdf</t>
  </si>
  <si>
    <t xml:space="preserve">Inductance_RM8</t>
  </si>
  <si>
    <t xml:space="preserve">Индуктивность на сердечнике RM8</t>
  </si>
  <si>
    <t xml:space="preserve">Schematic\Inductance_RM8.SchLib</t>
  </si>
  <si>
    <t xml:space="preserve">BLM18AG102SN1D</t>
  </si>
  <si>
    <t xml:space="preserve">Дроссель подавления ЭМП</t>
  </si>
  <si>
    <t xml:space="preserve">Schematic\Ferrite_bead.SchLib</t>
  </si>
  <si>
    <t xml:space="preserve">Ferrite_bead</t>
  </si>
  <si>
    <t xml:space="preserve">https://www.chipdip.ru/product/blm18ag102sn1d-1-kom-0.4a-0603-drossel-podavleniya-murata-9000029220</t>
  </si>
  <si>
    <t xml:space="preserve">TS820-600B-TR</t>
  </si>
  <si>
    <t xml:space="preserve">Тиристор 600В 8А</t>
  </si>
  <si>
    <t xml:space="preserve">Schematic\thyristor1K2A3G.SchLib</t>
  </si>
  <si>
    <t xml:space="preserve">thyristor</t>
  </si>
  <si>
    <t xml:space="preserve">600 В</t>
  </si>
  <si>
    <t xml:space="preserve">Tact_button</t>
  </si>
  <si>
    <t xml:space="preserve">Тактовая кнопка</t>
  </si>
  <si>
    <t xml:space="preserve">Button_SMD_10mm</t>
  </si>
  <si>
    <t xml:space="preserve">Button_SMD_6x6</t>
  </si>
  <si>
    <t xml:space="preserve">Button_tht_6X6</t>
  </si>
  <si>
    <t xml:space="preserve">LED</t>
  </si>
  <si>
    <t xml:space="preserve">Светодиод</t>
  </si>
  <si>
    <t xml:space="preserve">0805D</t>
  </si>
  <si>
    <t xml:space="preserve">Footprints\3mm_led_red.PcbLib</t>
  </si>
  <si>
    <t xml:space="preserve">3mm_led_red</t>
  </si>
  <si>
    <t xml:space="preserve">XTAL</t>
  </si>
  <si>
    <t xml:space="preserve">Кварцевый резонатор</t>
  </si>
  <si>
    <t xml:space="preserve">HC49SD</t>
  </si>
  <si>
    <t xml:space="preserve">XTAL_GND</t>
  </si>
  <si>
    <t xml:space="preserve">Кварцевый резонатор с входом земли</t>
  </si>
  <si>
    <t xml:space="preserve">Footprints\XTAL\QSMD3.2x2.5.PcbLib</t>
  </si>
  <si>
    <t xml:space="preserve">QSMD3.2x2.5</t>
  </si>
  <si>
    <t xml:space="preserve">SB</t>
  </si>
  <si>
    <t xml:space="preserve">Solder bridge, мост припоя, запаиваемая перемычка, net tie, jumper</t>
  </si>
  <si>
    <t xml:space="preserve">0805SB</t>
  </si>
  <si>
    <t xml:space="preserve">1206SB</t>
  </si>
  <si>
    <t xml:space="preserve">0805SB_wide_gap</t>
  </si>
  <si>
    <t xml:space="preserve">0603SB</t>
  </si>
  <si>
    <t xml:space="preserve">CBM432AST23</t>
  </si>
  <si>
    <t xml:space="preserve">Источник опорного напряжения, программируемый стабилитрон</t>
  </si>
  <si>
    <t xml:space="preserve">precision_shunt_regulator</t>
  </si>
  <si>
    <t xml:space="preserve">UMW TL431 0.5%</t>
  </si>
  <si>
    <t xml:space="preserve">Источник опорного напряжения , программируемый стабилитрон [SOT-23-3]</t>
  </si>
  <si>
    <t xml:space="preserve">Fuse 20x5 on clips FC-M</t>
  </si>
  <si>
    <t xml:space="preserve">Предохранитель 20*5 на креплениях</t>
  </si>
  <si>
    <t xml:space="preserve">fuse</t>
  </si>
  <si>
    <t xml:space="preserve">fuse_20x5_on_clips_FC-M</t>
  </si>
  <si>
    <t xml:space="preserve">DHT22</t>
  </si>
  <si>
    <t xml:space="preserve">Датчик температуры и влажности на базе AM2302</t>
  </si>
  <si>
    <t xml:space="preserve">cooler4040</t>
  </si>
  <si>
    <t xml:space="preserve">вентилятор 40*40 с дыркой на плате</t>
  </si>
  <si>
    <t xml:space="preserve">cooler3030</t>
  </si>
  <si>
    <t xml:space="preserve">вентилятор 30*30 с дыркой на плате</t>
  </si>
  <si>
    <t xml:space="preserve">SMT_spacer_nut</t>
  </si>
  <si>
    <t xml:space="preserve">Стойка под пайку, М2.5, высота 3мм, SMT spacer nut - ключевые слова, Hangzhou WildChip Tech Co., Ltd. Store магазин на алике</t>
  </si>
  <si>
    <t xml:space="preserve">SMT spacer</t>
  </si>
  <si>
    <t xml:space="preserve">Schematic\Connectors\Conn_1pin.SchLib</t>
  </si>
  <si>
    <t xml:space="preserve">Conn_1pin</t>
  </si>
  <si>
    <t xml:space="preserve">Footprints\SMT_spacer_nut.PcbLib</t>
  </si>
  <si>
    <t xml:space="preserve">9774030151</t>
  </si>
  <si>
    <t xml:space="preserve">https://aliexpress.ru/item/1005005620368789.html?sku_id=12000033777723210&amp;srcSns=sns_More&amp;businessType=ProductDetail&amp;spreadType=socialShare&amp;tt=MG&amp;utm_medium=sharing</t>
  </si>
  <si>
    <t xml:space="preserve">spacer_m2.5_h16</t>
  </si>
  <si>
    <t xml:space="preserve">Стойка М2.5, высота 16мм</t>
  </si>
  <si>
    <t xml:space="preserve">Spacer m2.5 h16</t>
  </si>
  <si>
    <t xml:space="preserve">CR2032-VAY3-15.2</t>
  </si>
  <si>
    <t xml:space="preserve">Li, MnO2 батарея типоразмера R20, 3В, 0.22Ач, приваренные выводы, -20...60 °C</t>
  </si>
  <si>
    <t xml:space="preserve">Schematic\Battery.SchLib</t>
  </si>
  <si>
    <t xml:space="preserve">Battery</t>
  </si>
  <si>
    <t xml:space="preserve">4WayDIP</t>
  </si>
  <si>
    <t xml:space="preserve">4 позиционный движковый переключатель</t>
  </si>
  <si>
    <t xml:space="preserve">4 Way Through Hole DIP Switch SPST</t>
  </si>
  <si>
    <t xml:space="preserve">CMP-47017-000002-1</t>
  </si>
  <si>
    <t xml:space="preserve">Footprints\4WayDIP.PcbLib</t>
  </si>
  <si>
    <t xml:space="preserve">FP-NDS04V-MFG</t>
  </si>
  <si>
    <t xml:space="preserve">Button_DIP_12x12</t>
  </si>
  <si>
    <t xml:space="preserve">Тактовая кнопка, DIP 12 x 12 мм</t>
  </si>
  <si>
    <t xml:space="preserve">Schematic\Tact_button.SchLib</t>
  </si>
  <si>
    <t xml:space="preserve">Footprints\Buttons\Button_DIP_12x12.PcbLib</t>
  </si>
  <si>
    <t xml:space="preserve">X322525MOB4SI</t>
  </si>
  <si>
    <t xml:space="preserve">Кварцевый резонатор SMD 25 МГц ±10ppm SMD-3225_4P</t>
  </si>
  <si>
    <t xml:space="preserve">XTAL_1-3_GND</t>
  </si>
  <si>
    <t xml:space="preserve">Footprints\XTAL\X322525MOB4SI.PcbLib</t>
  </si>
  <si>
    <t xml:space="preserve">25 МГц</t>
  </si>
  <si>
    <t xml:space="preserve">https://datasheet.lcsc.com/lcsc/Yangxing-Tech-X322525MOB4SI_C9006.pdf</t>
  </si>
  <si>
    <t xml:space="preserve">TSS-TD-19XA-XTR</t>
  </si>
  <si>
    <t xml:space="preserve">https://cdn.promelec.ru/upload/items/2023/04/17/TSS-TD-19XA.pdf</t>
  </si>
  <si>
    <t xml:space="preserve">SMT-NUT-M2H1.5</t>
  </si>
  <si>
    <t xml:space="preserve">Стойка под пайку, М2, высота 1.5 мм, SMT spacer nut - ключевые слова, Hangzhou WildChip Tech Co., Ltd. Store магазин на алике</t>
  </si>
  <si>
    <t xml:space="preserve">LED 0603 RED</t>
  </si>
  <si>
    <t xml:space="preserve">Светодиод 0603 Красный</t>
  </si>
  <si>
    <t xml:space="preserve">0603D_red</t>
  </si>
  <si>
    <t xml:space="preserve">Красный</t>
  </si>
  <si>
    <t xml:space="preserve">LED 0603 BLUE</t>
  </si>
  <si>
    <t xml:space="preserve">Светодиод 0603 Синий</t>
  </si>
  <si>
    <t xml:space="preserve">0603D_blue</t>
  </si>
  <si>
    <t xml:space="preserve">Синий</t>
  </si>
  <si>
    <t xml:space="preserve">LED 0603 YELLOW</t>
  </si>
  <si>
    <t xml:space="preserve">Светодиод 0603 Жёлтый</t>
  </si>
  <si>
    <t xml:space="preserve">0603D_yellow</t>
  </si>
  <si>
    <t xml:space="preserve">Жёлтый</t>
  </si>
  <si>
    <t xml:space="preserve">LED 0603 GREEN</t>
  </si>
  <si>
    <t xml:space="preserve">Светодиод 0603 Зелёный</t>
  </si>
  <si>
    <t xml:space="preserve">0603D_green</t>
  </si>
  <si>
    <t xml:space="preserve">Зелёный</t>
  </si>
  <si>
    <t xml:space="preserve">ASEK-32.768KHZ-LRT</t>
  </si>
  <si>
    <t xml:space="preserve">Генератор кварцевый керамика 32.768кГц ±25ppm/°С -40°C....+85В°C SMT</t>
  </si>
  <si>
    <t xml:space="preserve">XTAL_ASEK-32.768KHZ-LRT</t>
  </si>
  <si>
    <t xml:space="preserve">32.768кГц</t>
  </si>
  <si>
    <t xml:space="preserve">MF-FSMF010X-2</t>
  </si>
  <si>
    <t xml:space="preserve">Предохранитель самовосстанавливающийся 0,1А 15В</t>
  </si>
  <si>
    <t xml:space="preserve">KLS7-TS3601</t>
  </si>
  <si>
    <t xml:space="preserve">https://static.chipdip.ru/lib/551/DOC001551910.pdf</t>
  </si>
  <si>
    <t xml:space="preserve">L-KLS5-CR2032-03</t>
  </si>
  <si>
    <t xml:space="preserve">Держатель батареи CR2032</t>
  </si>
  <si>
    <t xml:space="preserve">https://static.chipdip.ru/lib/516/DOC014516710.pdf</t>
  </si>
  <si>
    <t xml:space="preserve">System</t>
  </si>
  <si>
    <t xml:space="preserve">Столбец1</t>
  </si>
  <si>
    <t xml:space="preserve">Столбец2</t>
  </si>
  <si>
    <t xml:space="preserve">IDC-10</t>
  </si>
  <si>
    <t xml:space="preserve">10-пиновый разъём с ключём</t>
  </si>
  <si>
    <t xml:space="preserve">Schematic\Connectors\Conn_10pin.SchLib</t>
  </si>
  <si>
    <t xml:space="preserve">Conn_10pin</t>
  </si>
  <si>
    <t xml:space="preserve">Footprints\Connectors\IDC-10.PcbLib</t>
  </si>
  <si>
    <t xml:space="preserve">Connector</t>
  </si>
  <si>
    <t xml:space="preserve">D-SUB-26</t>
  </si>
  <si>
    <t xml:space="preserve">Schematic\Connectors\Conn_26pin.SchLib</t>
  </si>
  <si>
    <t xml:space="preserve">Conn_26pin</t>
  </si>
  <si>
    <t xml:space="preserve">Footprints\Connectors\D-SUB-26.PcbLib</t>
  </si>
  <si>
    <t xml:space="preserve">PLS-4</t>
  </si>
  <si>
    <t xml:space="preserve">Гребенка 4 пина</t>
  </si>
  <si>
    <t xml:space="preserve">Schematic\Connectors\Conn_4pin.SchLib</t>
  </si>
  <si>
    <t xml:space="preserve">Conn_4pin</t>
  </si>
  <si>
    <t xml:space="preserve">Footprints\Connectors\PLS_PLD_PBS_PBD_and_others\PLS_ALL.PcbLib</t>
  </si>
  <si>
    <t xml:space="preserve">PLS4</t>
  </si>
  <si>
    <t xml:space="preserve">CWF-5</t>
  </si>
  <si>
    <t xml:space="preserve">5-пиновый разъем с ключом</t>
  </si>
  <si>
    <t xml:space="preserve">Schematic\Connectors\Conn_5pin.SchLib</t>
  </si>
  <si>
    <t xml:space="preserve">Conn_5pin</t>
  </si>
  <si>
    <t xml:space="preserve">Footprints\Connectors\CWF\CWF-5.PcbLib</t>
  </si>
  <si>
    <t xml:space="preserve">CWF-3</t>
  </si>
  <si>
    <t xml:space="preserve">3-пиновый разъем с ключом</t>
  </si>
  <si>
    <t xml:space="preserve">Schematic\Connectors\Conn_3pin.SchLib</t>
  </si>
  <si>
    <t xml:space="preserve">Conn_3pin</t>
  </si>
  <si>
    <t xml:space="preserve">Footprints\Connectors\CWF\CWF-3.PcbLib</t>
  </si>
  <si>
    <t xml:space="preserve">Footprints\Connectors\CWF\anotherCWF-3.PcbLib</t>
  </si>
  <si>
    <t xml:space="preserve">anotherCWF-3</t>
  </si>
  <si>
    <t xml:space="preserve">XT30UPB-M</t>
  </si>
  <si>
    <t xml:space="preserve">2-пиновый разъем с ключом</t>
  </si>
  <si>
    <t xml:space="preserve">Schematic\Connectors\Polar_Conn.SchLib</t>
  </si>
  <si>
    <t xml:space="preserve">Polar_Conn</t>
  </si>
  <si>
    <t xml:space="preserve">Footprints\Connectors\XT30UPB-M.PcbLib</t>
  </si>
  <si>
    <t xml:space="preserve">2_PADS</t>
  </si>
  <si>
    <t xml:space="preserve">2 контактные площадки под пайку толстых проводов</t>
  </si>
  <si>
    <t xml:space="preserve">Schematic\Connectors\Conn_2pin.SchLib</t>
  </si>
  <si>
    <t xml:space="preserve">Conn_2pin</t>
  </si>
  <si>
    <t xml:space="preserve">Footprints\Connectors\2_PADS.PcbLib</t>
  </si>
  <si>
    <t xml:space="preserve">Footprints\Connectors\2_Holes.pcblib</t>
  </si>
  <si>
    <t xml:space="preserve">2_HOLES</t>
  </si>
  <si>
    <t xml:space="preserve">XT30PW-M</t>
  </si>
  <si>
    <t xml:space="preserve">30 А (15 продолжительно), 2 контакта разъем угловой отец</t>
  </si>
  <si>
    <t xml:space="preserve">Schematic\Connectors\Polar_Conn_Shield.SchLib</t>
  </si>
  <si>
    <t xml:space="preserve">Polar_Conn_Shield</t>
  </si>
  <si>
    <t xml:space="preserve">Footprints\Connectors\XT30PW-M.PcbLib</t>
  </si>
  <si>
    <t xml:space="preserve">KLS2-300-5.00-02P-2S</t>
  </si>
  <si>
    <t xml:space="preserve">Клеммник винтовой, 2-контактный, 5мм, прямой</t>
  </si>
  <si>
    <t xml:space="preserve">Footprints\Connectors\KLS2-300-5.00-02P-2S.PcbLib</t>
  </si>
  <si>
    <t xml:space="preserve">DIN41612_32_2row_right_angle_father</t>
  </si>
  <si>
    <t xml:space="preserve">DIN41612R (DS1118-32M0R23), Разъем (вилка) тип B 32pin (2х16), шаг 2.54мм двухрядный угловой (ряд АВ)</t>
  </si>
  <si>
    <t xml:space="preserve">Schematic\Connectors\DIN41612_32_2row.SchLib</t>
  </si>
  <si>
    <t xml:space="preserve">DIN41612_32_2row</t>
  </si>
  <si>
    <t xml:space="preserve">Footprints\Connectors\DIN41612_32_2row_right_angle_father.PcbLib</t>
  </si>
  <si>
    <t xml:space="preserve">DIN41612_32_2row_straight_mother</t>
  </si>
  <si>
    <t xml:space="preserve">DIN41612 (DS1118-32F0V23), Разъем (розетка) тип B 32pin (2х16), шаг 2.54мм двухрядный прямой (ряд АB)</t>
  </si>
  <si>
    <t xml:space="preserve">Footprints\Connectors\DIN41612_32_2row_straight_mother.PcbLib</t>
  </si>
  <si>
    <t xml:space="preserve">XT30UPB-F</t>
  </si>
  <si>
    <t xml:space="preserve">30 А (15 продолжительно), прямая мать</t>
  </si>
  <si>
    <t xml:space="preserve">Footprints\Connectors\XT30UPB-F.PcbLib</t>
  </si>
  <si>
    <t xml:space="preserve">Holder 18650</t>
  </si>
  <si>
    <t xml:space="preserve">Holder 18650 SMT </t>
  </si>
  <si>
    <t xml:space="preserve">18650holder</t>
  </si>
  <si>
    <t xml:space="preserve">Schematic\Connectors\18650holder.SchLib</t>
  </si>
  <si>
    <t xml:space="preserve">Footprints\Connectors\18650holder.PcbLib</t>
  </si>
  <si>
    <t xml:space="preserve">D-SUB_25_angular_mother</t>
  </si>
  <si>
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</si>
  <si>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 xml:space="preserve">Schematic\Connectors\D-SUB_25_angular_mother.SchLib</t>
  </si>
  <si>
    <t xml:space="preserve">Footprints\Connectors\D-SUB_25_angular_mother.PcbLib</t>
  </si>
  <si>
    <t xml:space="preserve">1-1734577-3-rj45-8p8c</t>
  </si>
  <si>
    <t xml:space="preserve">Модульный разъем, Cat3, RJ45, Гнездо, 8 контакт(-ов), 8 вывод(-ов), 1 порт(-ов)</t>
  </si>
  <si>
    <t xml:space="preserve">1734577-3</t>
  </si>
  <si>
    <t xml:space="preserve">Schematic\Connectors\1-1734577-3-rj45-8p8c.SchLib</t>
  </si>
  <si>
    <t xml:space="preserve">Footprints\Connectors\1-1734577-3-rj45-8p8c.PcbLib</t>
  </si>
  <si>
    <t xml:space="preserve">Molex_430450415</t>
  </si>
  <si>
    <t xml:space="preserve">Разъем типа провод-плата, 3 мм, 4 контакт(-ов), Штыревой Разъем, для поверностного монтажа</t>
  </si>
  <si>
    <t xml:space="preserve">430450415</t>
  </si>
  <si>
    <t xml:space="preserve">Schematic\Connectors\Molex_430450415.SchLib</t>
  </si>
  <si>
    <t xml:space="preserve">Footprints\Connectors\MOLEX_430450415.PcbLib</t>
  </si>
  <si>
    <t xml:space="preserve">MOLEX_430450415</t>
  </si>
  <si>
    <t xml:space="preserve">DG141V-2.54-10P</t>
  </si>
  <si>
    <t xml:space="preserve">Нажимной безвинтовой клеммный блок на 10 контактов. Зажим типа торцевой контакт. Серия DG141V-2.54</t>
  </si>
  <si>
    <t xml:space="preserve">Footprints\Connectors\DG141V-2.54-10P.PcbLib</t>
  </si>
  <si>
    <t xml:space="preserve">Molex_430450218</t>
  </si>
  <si>
    <t xml:space="preserve">Разъем типа провод-плата, 3 мм, 2 контакт(-ов), Штыревой Разъем, Серия Micro-Fit для поверхностного монтажа</t>
  </si>
  <si>
    <t xml:space="preserve">430450218</t>
  </si>
  <si>
    <t xml:space="preserve">Schematic\Connectors\Molex_430450218.SchLib</t>
  </si>
  <si>
    <t xml:space="preserve">Footprints\Connectors\Molex_430450218.PcbLib</t>
  </si>
  <si>
    <t xml:space="preserve">Molex_430450418</t>
  </si>
  <si>
    <t xml:space="preserve">430450418</t>
  </si>
  <si>
    <t xml:space="preserve">Footprints\Connectors\MOLEX_430450418.PcbLib</t>
  </si>
  <si>
    <t xml:space="preserve">MOLEX_430450418</t>
  </si>
  <si>
    <t xml:space="preserve">KK5045-03AG</t>
  </si>
  <si>
    <t xml:space="preserve">Разъем типа провод-плата, 2.5 мм, 3 контакта</t>
  </si>
  <si>
    <t xml:space="preserve">Footprints\Connectors\KK5045-03AG.PcbLib</t>
  </si>
  <si>
    <t xml:space="preserve">KK5045-04AG</t>
  </si>
  <si>
    <t xml:space="preserve">Разъем типа провод-плата, 2.5 мм, 4 контакта</t>
  </si>
  <si>
    <t xml:space="preserve">Footprints\Connectors\KK5045-04AG.PcbLib</t>
  </si>
  <si>
    <t xml:space="preserve">KK5045-05AG</t>
  </si>
  <si>
    <t xml:space="preserve">Разъем типа провод-плата, 2.5 мм, 5 контакта</t>
  </si>
  <si>
    <t xml:space="preserve">Footprints\Connectors\KK5045-05AG.PcbLib</t>
  </si>
  <si>
    <t xml:space="preserve">MPW-3</t>
  </si>
  <si>
    <t xml:space="preserve">MPW-3 , Вилка на плату 5.08мм прямая 3pin</t>
  </si>
  <si>
    <t xml:space="preserve">Footprints\Connectors\MPW-3.PcbLib</t>
  </si>
  <si>
    <t xml:space="preserve">MPW-4</t>
  </si>
  <si>
    <t xml:space="preserve">MPW-4 , Вилка на плату 5.08мм прямая 4pin</t>
  </si>
  <si>
    <t xml:space="preserve">Footprints\Connectors\MPW-4.PcbLib</t>
  </si>
  <si>
    <t xml:space="preserve">MPW-8</t>
  </si>
  <si>
    <t xml:space="preserve">MPW-8 , Вилка на плату 5.08мм прямая 8pin</t>
  </si>
  <si>
    <t xml:space="preserve">Schematic\Connectors\Conn_8pin.SchLib</t>
  </si>
  <si>
    <t xml:space="preserve">Conn_8pin</t>
  </si>
  <si>
    <t xml:space="preserve">Footprints\Connectors\MPW-8.PcbLib</t>
  </si>
  <si>
    <t xml:space="preserve">PLS-2</t>
  </si>
  <si>
    <t xml:space="preserve">Гребенка 2 пина</t>
  </si>
  <si>
    <t xml:space="preserve">PLS2</t>
  </si>
  <si>
    <t xml:space="preserve">PLH-4</t>
  </si>
  <si>
    <t xml:space="preserve">Гребенка высокая 4 пина типоразмер 18 (промежуток 10.4мм) Connfly </t>
  </si>
  <si>
    <t xml:space="preserve">Footprints\Connectors\PLS_PLD_PBS_PBD_and_others\PLH_ALL.PcbLib</t>
  </si>
  <si>
    <t xml:space="preserve">PLH4_type18</t>
  </si>
  <si>
    <t xml:space="preserve">https://static.chipdip.ru/lib/530/DOC059530234.pdf</t>
  </si>
  <si>
    <t xml:space="preserve">PLH-2</t>
  </si>
  <si>
    <t xml:space="preserve">Гребенка высокая 2 пина типоразмер 18 (промежуток 10.4мм) Connfly</t>
  </si>
  <si>
    <t xml:space="preserve">PLH2_type18</t>
  </si>
  <si>
    <t xml:space="preserve">PBS-4</t>
  </si>
  <si>
    <t xml:space="preserve">Розетка 4 пина высота 8.5</t>
  </si>
  <si>
    <t xml:space="preserve">Footprints\Connectors\PLS_PLD_PBS_PBD_and_others\PBS_ALL.PcbLib</t>
  </si>
  <si>
    <t xml:space="preserve">PBS4_8.5</t>
  </si>
  <si>
    <t xml:space="preserve">https://static.chipdip.ru/lib/986/DOC012986355.pdf</t>
  </si>
  <si>
    <t xml:space="preserve">PBS-2</t>
  </si>
  <si>
    <t xml:space="preserve">PBS2_8.5</t>
  </si>
  <si>
    <t xml:space="preserve">CWF-2</t>
  </si>
  <si>
    <t xml:space="preserve">Footprints\Connectors\CWF\CWF-2.PcbLib</t>
  </si>
  <si>
    <t xml:space="preserve">https://static.chipdip.ru/lib/413/DOC001413777.pdf</t>
  </si>
  <si>
    <t xml:space="preserve">PLS-5</t>
  </si>
  <si>
    <t xml:space="preserve">Гребенка 5 пинов</t>
  </si>
  <si>
    <t xml:space="preserve">PLS5</t>
  </si>
  <si>
    <t xml:space="preserve">https://static.chipdip.ru/lib/177/DOC040177951.pdf</t>
  </si>
  <si>
    <t xml:space="preserve">PBD-40</t>
  </si>
  <si>
    <t xml:space="preserve">Гребенка 40 пинов</t>
  </si>
  <si>
    <t xml:space="preserve">Schematic\Connectors\Conn_40pin_double.SchLib</t>
  </si>
  <si>
    <t xml:space="preserve">Conn_40pin_double</t>
  </si>
  <si>
    <t xml:space="preserve">Footprints\Connectors\PLS_PLD_PBS_PBD_and_others\PBD_ALL.PcbLib</t>
  </si>
  <si>
    <t xml:space="preserve">PBD40_8.5</t>
  </si>
  <si>
    <t xml:space="preserve">PLD-40</t>
  </si>
  <si>
    <t xml:space="preserve">Footprints\Connectors\PLS_PLD_PBS_PBD_and_others\PLD_ALL.PcbLib</t>
  </si>
  <si>
    <t xml:space="preserve">PLD40</t>
  </si>
  <si>
    <t xml:space="preserve">Picoblade_533984002</t>
  </si>
  <si>
    <t xml:space="preserve">2pin, 1.25mm, вилка, PicoBlade, на плату, SMT</t>
  </si>
  <si>
    <t xml:space="preserve">533984002</t>
  </si>
  <si>
    <t xml:space="preserve">Schematic\Connectors\Conn_2pin_2shield.SchLib</t>
  </si>
  <si>
    <t xml:space="preserve">Conn_2pin_2shield</t>
  </si>
  <si>
    <t xml:space="preserve">Footprints\Connectors\Picoblade_533984002.PcbLib</t>
  </si>
  <si>
    <t xml:space="preserve">https://www.molex.com/en-us/products/part-detail/533984002?display=pdf</t>
  </si>
  <si>
    <t xml:space="preserve">PLS-3</t>
  </si>
  <si>
    <t xml:space="preserve">Гребенка 3 пина</t>
  </si>
  <si>
    <t xml:space="preserve">PLS3</t>
  </si>
  <si>
    <t xml:space="preserve">USB_2.0</t>
  </si>
  <si>
    <t xml:space="preserve">Двойной USB 2.0</t>
  </si>
  <si>
    <t xml:space="preserve">Schematic\USB_2.0.SchLib</t>
  </si>
  <si>
    <t xml:space="preserve">Footprints\USB_2.0.PcbLib</t>
  </si>
  <si>
    <t xml:space="preserve">USB_3.0</t>
  </si>
  <si>
    <t xml:space="preserve">Двойной USB 3.0</t>
  </si>
  <si>
    <t xml:space="preserve">Schematic\USB_3.0.SchLib</t>
  </si>
  <si>
    <t xml:space="preserve">Footprints\USB_3.0.PcbLib</t>
  </si>
  <si>
    <t xml:space="preserve">123A-30M00</t>
  </si>
  <si>
    <t xml:space="preserve">Разъем: M.2 (NGFF); горизонтальный; SMT; gold flash; PIN: 67; 0,5А</t>
  </si>
  <si>
    <t xml:space="preserve">Schematic\Connectors\M2.SchLib</t>
  </si>
  <si>
    <t xml:space="preserve">M2</t>
  </si>
  <si>
    <t xml:space="preserve">Footprints\M2.PcbLib</t>
  </si>
  <si>
    <t xml:space="preserve">PCIe M2</t>
  </si>
  <si>
    <t xml:space="preserve">Footprints\123A-30M00.PcbLib</t>
  </si>
  <si>
    <t xml:space="preserve">https://static.chipdip.ru/lib/882/DOC040882845.pdf</t>
  </si>
  <si>
    <t xml:space="preserve">SD_holder</t>
  </si>
  <si>
    <t xml:space="preserve">Разъем под сд карту</t>
  </si>
  <si>
    <t xml:space="preserve">SD card</t>
  </si>
  <si>
    <t xml:space="preserve">Schematic\MSD-10-C.SchLib</t>
  </si>
  <si>
    <t xml:space="preserve">MSD-10-C</t>
  </si>
  <si>
    <t xml:space="preserve">Footprints\CUI_MSD-10-C.PcbLib</t>
  </si>
  <si>
    <t xml:space="preserve">CUI_MSD-10-C</t>
  </si>
  <si>
    <t xml:space="preserve">DF12(3.0)-32DP</t>
  </si>
  <si>
    <t xml:space="preserve">Разъем плата-плата 32 пина, мама, шаг 0.5мм, высота 3мм</t>
  </si>
  <si>
    <t xml:space="preserve">Conn_32pin</t>
  </si>
  <si>
    <t xml:space="preserve">DF12(3.0)-32DS</t>
  </si>
  <si>
    <t xml:space="preserve">Разъем плата-плата 32 пина, папа, шаг 0.5мм, высота 3мм</t>
  </si>
  <si>
    <t xml:space="preserve">DF40C-50DP</t>
  </si>
  <si>
    <t xml:space="preserve">Разъем плата-плата 50 пинов, мама, шаг 0.4мм</t>
  </si>
  <si>
    <t xml:space="preserve">Conn_50pin_double</t>
  </si>
  <si>
    <t xml:space="preserve">DF40C-50DS</t>
  </si>
  <si>
    <t xml:space="preserve">Разъем плата-плата 50 пинов, папа, шаг 0.4мм</t>
  </si>
  <si>
    <t xml:space="preserve">DF40HC(4.0)-50DS</t>
  </si>
  <si>
    <t xml:space="preserve">PLS-6</t>
  </si>
  <si>
    <t xml:space="preserve">Гребенка 6 пинов</t>
  </si>
  <si>
    <t xml:space="preserve">Conn_6pin</t>
  </si>
  <si>
    <t xml:space="preserve">PLS6</t>
  </si>
  <si>
    <t xml:space="preserve">MR60PB-M</t>
  </si>
  <si>
    <t xml:space="preserve">60 А (40 продолжительно), 3 контакта, прямой отец</t>
  </si>
  <si>
    <t xml:space="preserve">Footprints\Connectors\MR60PB-M.PcbLib</t>
  </si>
  <si>
    <t xml:space="preserve">XT90PB-M</t>
  </si>
  <si>
    <t xml:space="preserve">90 А (60 продолжительно), 2 контакта, прямой отец</t>
  </si>
  <si>
    <t xml:space="preserve">Footprints\Connectors\XT90PB-M.PcbLib</t>
  </si>
  <si>
    <t xml:space="preserve">IDC_40_Male conector</t>
  </si>
  <si>
    <t xml:space="preserve">IDC 40-пиновый разъём прямая вилка</t>
  </si>
  <si>
    <t xml:space="preserve">Footprints\Connectors\IDC_40_Male conector.PcbLib</t>
  </si>
  <si>
    <t xml:space="preserve">DF40C-40DP</t>
  </si>
  <si>
    <t xml:space="preserve">Разъем плата-плата 40 пинов, мама, шаг 0.4мм</t>
  </si>
  <si>
    <t xml:space="preserve">DF40C-40DS</t>
  </si>
  <si>
    <t xml:space="preserve">Разъем плата-плата 40 пинов, папа, шаг 0.4мм</t>
  </si>
  <si>
    <t xml:space="preserve">M80-4001042</t>
  </si>
  <si>
    <t xml:space="preserve">5+5-контактный гнездовой DIL-разъём с вертикальным сквозным креплением</t>
  </si>
  <si>
    <t xml:space="preserve">https://www.harwin.com/products/M80-4001042</t>
  </si>
  <si>
    <t xml:space="preserve">Fucking M80-4001042</t>
  </si>
  <si>
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</si>
  <si>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 xml:space="preserve">M80-4001042_govnodelie</t>
  </si>
  <si>
    <t xml:space="preserve">signal_PAD</t>
  </si>
  <si>
    <t xml:space="preserve">контактная площадка под пайку тонких проводов</t>
  </si>
  <si>
    <t xml:space="preserve">Footprints\Connectors\SS_PAD.PcbLib</t>
  </si>
  <si>
    <t xml:space="preserve">SS_PAD</t>
  </si>
  <si>
    <t xml:space="preserve">JK0-0136NL</t>
  </si>
  <si>
    <t xml:space="preserve">Модульный разъем (с трансформатором) Cat5/6, RJ45, Гнездо,  1 порт</t>
  </si>
  <si>
    <t xml:space="preserve">Schematic\Connectors\JK0-0136NL.SchLib</t>
  </si>
  <si>
    <t xml:space="preserve">Footprints\Connectors\JK00136NL.PcbLib</t>
  </si>
  <si>
    <t xml:space="preserve">JK00136NL</t>
  </si>
  <si>
    <t xml:space="preserve">https://static.chipdip.ru/lib/746/DOC044746386.pdf</t>
  </si>
  <si>
    <t xml:space="preserve">DIN41612_48_3row_straight_female</t>
  </si>
  <si>
    <t xml:space="preserve">DIN41612R (DS1120-48F0V13), Разъем (розетка) тип B 48pin (3х16), шаг 2.54мм трехрядный прямой (ряд АBC)</t>
  </si>
  <si>
    <t xml:space="preserve">Conn_48pin_3row</t>
  </si>
  <si>
    <t xml:space="preserve">https://cdn.promelec.ru/upload/datasheet/3/1/DS1120.pdf</t>
  </si>
  <si>
    <t xml:space="preserve">DIN41612_48_3row_right_angle_male</t>
  </si>
  <si>
    <t xml:space="preserve">DIN41612R (DS1120-48M0R13), Разъем (вилка) тип B 48pin (3х16), шаг 2.54мм трехрядный угловой (ряд АВC)</t>
  </si>
  <si>
    <t xml:space="preserve">Разъем типа провод-плата, угловой, 3 мм, 2 контакт(-ов), Штыревой Разъем, Серия Micro-Fit для монтажа в отверстия</t>
  </si>
  <si>
    <t xml:space="preserve">Footprints\Connectors\MOLEX_MICRO-FIT_430450200.PcbLib</t>
  </si>
  <si>
    <t xml:space="preserve">MOLEX_MICRO-FIT_430450200</t>
  </si>
  <si>
    <t xml:space="preserve">https://www.molex.com/content/dam/molex/molex-dot-com/products/automated/en-us/salesdrawingpdf/430/43045/430450200_sd.pdf?inline</t>
  </si>
  <si>
    <t xml:space="preserve">Akeys 5224-8P8C</t>
  </si>
  <si>
    <t xml:space="preserve">Модульный разъем, Cat3, RJ45, 8P8C, Гнездо, 8 контактов, 8 выводов, 2 порта</t>
  </si>
  <si>
    <t xml:space="preserve">Schematic\Connectors\Akeys 5224-8P8C.SchLib</t>
  </si>
  <si>
    <t xml:space="preserve">Footprints\Connectors\Akeys 5224-8P8C.PcbLib</t>
  </si>
  <si>
    <t xml:space="preserve">Hydrolib\Datasheet\akeys 5224-8P8C.png</t>
  </si>
  <si>
    <t xml:space="preserve">1-406541-5-RJ45-8p8c</t>
  </si>
  <si>
    <t xml:space="preserve">Модульный разъем, Cat5, RJ45, Гнездо, 8 контакт(-ов), 8 вывод(-ов), 1 порт(-ов)</t>
  </si>
  <si>
    <t xml:space="preserve">1-406541-5</t>
  </si>
  <si>
    <t xml:space="preserve">RJ45-8p8c</t>
  </si>
  <si>
    <t xml:space="preserve">https://cdn.promelec.ru/upload/items/2021/01/20/ENG_CD_406541_T.pdf</t>
  </si>
  <si>
    <t xml:space="preserve">HR911130A</t>
  </si>
  <si>
    <t xml:space="preserve">Однопортовый магнитный разъем RJ45 100/1000Base-T со встроенным трансформатором и светодиодами</t>
  </si>
  <si>
    <t xml:space="preserve">Schematic\Connectors\HR911130A.SchLib</t>
  </si>
  <si>
    <t xml:space="preserve">Footprints\Connectors\HR911130A.PcbLib</t>
  </si>
  <si>
    <t xml:space="preserve">https://cdn.promelec.ru/upload/items/2023/08/23/HR911130A_.pdf</t>
  </si>
  <si>
    <t xml:space="preserve">USB_type_C_16PF-026</t>
  </si>
  <si>
    <t xml:space="preserve">USB2.0 TYPE-C 16PF-026, Разъём USB TYPE-C - розетка в плату</t>
  </si>
  <si>
    <t xml:space="preserve">Schematic\Connectors\USB_type_C_16PF-026.SchLib</t>
  </si>
  <si>
    <t xml:space="preserve">Footprints\Connectors\16PF-026.PcbLib</t>
  </si>
  <si>
    <t xml:space="preserve">16PF-026</t>
  </si>
  <si>
    <t xml:space="preserve">https://ruichi.ru/files/107841-716042290d9ed014628a96fd01272154.pdf</t>
  </si>
  <si>
    <t xml:space="preserve">467650001_microHDMI</t>
  </si>
  <si>
    <t xml:space="preserve">Разъем Micro HDMI с шагом контактов 0,40 мм, угловой разъем, для поверхностного монтажа, 19 контактов</t>
  </si>
  <si>
    <t xml:space="preserve">Schematic\Connectors\467650001.SchLib</t>
  </si>
  <si>
    <t xml:space="preserve">Footprints\Connectors\467650001.PcbLib</t>
  </si>
  <si>
    <t xml:space="preserve">https://www.molex.com/content/dam/molex/molex-dot-com/products/automated/en-us/salesdrawingpdf/467/46765/467650001_sd.pdf?inline</t>
  </si>
  <si>
    <t xml:space="preserve">USB 3.0A DS1095-05</t>
  </si>
  <si>
    <t xml:space="preserve">Разъем USB 3.0 тип A, 9 контактов, мама, угловой.</t>
  </si>
  <si>
    <t xml:space="preserve">Schematic\Connectors\USB3.0A_DS1095-05.SchLib</t>
  </si>
  <si>
    <t xml:space="preserve">USB3.0A_DS1095-05</t>
  </si>
  <si>
    <t xml:space="preserve">Footprints\Connectors\USB3.0A_DS1095-05.PcbLib</t>
  </si>
  <si>
    <t xml:space="preserve">https://static.chipdip.ru/lib/553/DOC059553898.pdf</t>
  </si>
  <si>
    <t xml:space="preserve">DM3AT-SF-PEJM5</t>
  </si>
  <si>
    <t xml:space="preserve">Разъем для microSD карты памяти угл.8к.1.1мм SMT</t>
  </si>
  <si>
    <t xml:space="preserve">Schematic\Connectors\DM3AT-SF-PEJM5.SchLib</t>
  </si>
  <si>
    <t xml:space="preserve">Footprints\Connectors\DM3AT-SF-PEJM5.PcbLib</t>
  </si>
  <si>
    <t xml:space="preserve">https://static.chipdip.ru/lib/795/DOC059795377.pdf</t>
  </si>
  <si>
    <t xml:space="preserve">BM04B-SRSS-TB</t>
  </si>
  <si>
    <t xml:space="preserve">Разъем штыревой на плату, поверхностый монтаж, вертикальный, 4 контакта, шаг 1 мм</t>
  </si>
  <si>
    <t xml:space="preserve">Conn_4pin_sh</t>
  </si>
  <si>
    <t xml:space="preserve">https://static.chipdip.ru/lib/149/DOC007149929.pdf</t>
  </si>
  <si>
    <t xml:space="preserve">Mini-USB-B5F</t>
  </si>
  <si>
    <t xml:space="preserve">Разъем mini USB, розетка угловая на плату</t>
  </si>
  <si>
    <t xml:space="preserve">KLS1-229-5FA</t>
  </si>
  <si>
    <t xml:space="preserve">https://static.chipdip.ru/lib/743/DOC016743759.pdf</t>
  </si>
  <si>
    <t xml:space="preserve">10018783-11111TLF</t>
  </si>
  <si>
    <t xml:space="preserve">PCI Express GEN 3 x4 слот, вертикальный, Through Hole, 64 Positions, шаг 1.00мм</t>
  </si>
  <si>
    <t xml:space="preserve">Conn_64pin</t>
  </si>
  <si>
    <t xml:space="preserve">AMPHENOL_10018783-11111TLF</t>
  </si>
  <si>
    <t xml:space="preserve">https://cdn.amphenol-cs.com/media/wysiwyg/files/drawing/10018783.pdf</t>
  </si>
  <si>
    <t xml:space="preserve">Picoblade_532610371</t>
  </si>
  <si>
    <t xml:space="preserve">Picoblade 3-pin разъем</t>
  </si>
  <si>
    <t xml:space="preserve">Conn_3pin_2shield</t>
  </si>
  <si>
    <t xml:space="preserve">CONN_532610001-SD_03_MOL</t>
  </si>
  <si>
    <t xml:space="preserve">https://www.chipdip.ru/product/53398-0667-pin-header-signal-wire-to-board-1.25-mm-1-molex-8013238168?from=similar_product_calc</t>
  </si>
  <si>
    <t xml:space="preserve">PicoBlade_53398-0471</t>
  </si>
  <si>
    <t xml:space="preserve">Разъем PicoBlade 1.25 мм, 4pin</t>
  </si>
  <si>
    <t xml:space="preserve">Conn_4pin_2shield</t>
  </si>
  <si>
    <t xml:space="preserve">53398-0471</t>
  </si>
  <si>
    <t xml:space="preserve">https://www.chipdip.ru/product/53398-0471-razem-picoblade-1.25-mm-4pin-shtyrevoy-na-molex-9000180711</t>
  </si>
  <si>
    <t xml:space="preserve">abv228</t>
  </si>
  <si>
    <t xml:space="preserve">треханальный хуистор понижающий в корпусе lga1488 2А 1.2МГц</t>
  </si>
  <si>
    <t xml:space="preserve">Schematic\abv228.SchLib</t>
  </si>
  <si>
    <t xml:space="preserve">Footprints\SC-70-5.PcbLib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</si>
</sst>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0.0"/>
    <numFmt numFmtId="168" formatCode="0"/>
    <numFmt numFmtId="169" formatCode="0%"/>
    <numFmt numFmtId="170" formatCode="0.00%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 val="single"/>
      <sz val="11"/>
      <color theme="10"/>
      <name val="Calibri"/>
      <family val="2"/>
      <charset val="1"/>
    </font>
    <font>
      <sz val="11"/>
      <color rgb="FF000000"/>
      <name val="Calibri"/>
      <family val="2"/>
      <charset val="204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"/>
        <bgColor rgb="FFCCFFFF"/>
      </patternFill>
    </fill>
    <fill>
      <patternFill patternType="solid">
        <fgColor theme="4"/>
        <bgColor rgb="FF969696"/>
      </patternFill>
    </fill>
    <fill>
      <patternFill patternType="solid">
        <fgColor theme="0"/>
        <bgColor rgb="FFFFFFCC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 style="thin">
        <color theme="4" tint="0.3999"/>
      </bottom>
      <diagonal/>
    </border>
    <border diagonalUp="false" diagonalDown="false">
      <left/>
      <right/>
      <top/>
      <bottom style="thin">
        <color theme="4" tint="0.3999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4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0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7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222222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ill>
        <patternFill patternType="solid">
          <fgColor rgb="FF5B9BD5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M75" headerRowCount="1" totalsRowCount="0" totalsRowShown="0">
  <autoFilter ref="A1:M7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</table>
</file>

<file path=xl/tables/table2.xml><?xml version="1.0" encoding="utf-8"?>
<table xmlns="http://schemas.openxmlformats.org/spreadsheetml/2006/main" id="2" name="Таблица10" displayName="Таблица10" ref="A1:R30" headerRowCount="1" totalsRowCount="0" totalsRowShown="0">
  <autoFilter ref="A1:R30"/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</table>
</file>

<file path=xl/tables/table3.xml><?xml version="1.0" encoding="utf-8"?>
<table xmlns="http://schemas.openxmlformats.org/spreadsheetml/2006/main" id="3" name="Таблица1014" displayName="Таблица1014" ref="A1:M2" headerRowCount="1" totalsRowCount="0" totalsRowShown="0">
  <autoFilter ref="A1:M2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</table>
</file>

<file path=xl/tables/table4.xml><?xml version="1.0" encoding="utf-8"?>
<table xmlns="http://schemas.openxmlformats.org/spreadsheetml/2006/main" id="4" name="Таблица11" displayName="Таблица11" ref="A1:N57" headerRowCount="1" totalsRowCount="0" totalsRowShown="0">
  <autoFilter ref="A1:N57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</table>
</file>

<file path=xl/tables/table5.xml><?xml version="1.0" encoding="utf-8"?>
<table xmlns="http://schemas.openxmlformats.org/spreadsheetml/2006/main" id="5" name="Таблица12" displayName="Таблица12" ref="A1:P30" headerRowCount="1" totalsRowCount="0" totalsRowShown="0">
  <autoFilter ref="A1:P30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</table>
</file>

<file path=xl/tables/table6.xml><?xml version="1.0" encoding="utf-8"?>
<table xmlns="http://schemas.openxmlformats.org/spreadsheetml/2006/main" id="6" name="Таблица2" displayName="Таблица2" ref="A1:N6" headerRowCount="1" totalsRowCount="0" totalsRowShown="0">
  <autoFilter ref="A1:N6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</table>
</file>

<file path=xl/tables/table7.xml><?xml version="1.0" encoding="utf-8"?>
<table xmlns="http://schemas.openxmlformats.org/spreadsheetml/2006/main" id="7" name="Таблица215" displayName="Таблица215" ref="A1:L6" headerRowCount="1" totalsRowCount="0" totalsRowShown="0">
  <autoFilter ref="A1:L6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</table>
</file>

<file path=xl/tables/table8.xml><?xml version="1.0" encoding="utf-8"?>
<table xmlns="http://schemas.openxmlformats.org/spreadsheetml/2006/main" id="8" name="Таблица3" displayName="Таблица3" ref="A1:M15" headerRowCount="1" totalsRowCount="0" totalsRowShown="0">
  <autoFilter ref="A1:M1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</table>
</file>

<file path=xl/tables/table9.xml><?xml version="1.0" encoding="utf-8"?>
<table xmlns="http://schemas.openxmlformats.org/spreadsheetml/2006/main" id="9" name="Таблица4" displayName="Таблица4" ref="A1:K12" headerRowCount="1" totalsRowCount="0" totalsRowShown="0">
  <autoFilter ref="A1:K12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</table>
</file>

<file path=xl/tables/table10.xml><?xml version="1.0" encoding="utf-8"?>
<table xmlns="http://schemas.openxmlformats.org/spreadsheetml/2006/main" id="10" name="Таблица5" displayName="Таблица5" ref="A1:M20" headerRowCount="1" totalsRowCount="0" totalsRowShown="0">
  <autoFilter ref="A1:M20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</table>
</file>

<file path=xl/tables/table11.xml><?xml version="1.0" encoding="utf-8"?>
<table xmlns="http://schemas.openxmlformats.org/spreadsheetml/2006/main" id="11" name="Таблица6" displayName="Таблица6" ref="A1:O190" headerRowCount="1" totalsRowCount="0" totalsRowShown="0">
  <autoFilter ref="A1:O190"/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</table>
</file>

<file path=xl/tables/table12.xml><?xml version="1.0" encoding="utf-8"?>
<table xmlns="http://schemas.openxmlformats.org/spreadsheetml/2006/main" id="12" name="Таблица7" displayName="Таблица7" ref="A1:V3" headerRowCount="1" totalsRowCount="0" totalsRowShown="0">
  <autoFilter ref="A1:V3"/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</table>
</file>

<file path=xl/tables/table13.xml><?xml version="1.0" encoding="utf-8"?>
<table xmlns="http://schemas.openxmlformats.org/spreadsheetml/2006/main" id="13" name="Таблица8" displayName="Таблица8" ref="A1:P28" headerRowCount="1" totalsRowCount="0" totalsRowShown="0">
  <autoFilter ref="A1:P28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</table>
</file>

<file path=xl/tables/table14.xml><?xml version="1.0" encoding="utf-8"?>
<table xmlns="http://schemas.openxmlformats.org/spreadsheetml/2006/main" id="14" name="Таблица9" displayName="Таблица9" ref="A1:L72" headerRowCount="1" totalsRowCount="0" totalsRowShown="0">
  <autoFilter ref="A1:L72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1/3/Infineon-IRS21867-DS-v01_01-EN.pdf" TargetMode="External"/><Relationship Id="rId2" Type="http://schemas.openxmlformats.org/officeDocument/2006/relationships/hyperlink" Target="https://cdn.promelec.ru/upload/datasheet/6/4/CD00284753.pdf" TargetMode="External"/><Relationship Id="rId3" Type="http://schemas.openxmlformats.org/officeDocument/2006/relationships/hyperlink" Target="https://cdn.promelec.ru/upload/items/2023/10/13/NSi8100NC_.pdf" TargetMode="External"/><Relationship Id="rId4" Type="http://schemas.openxmlformats.org/officeDocument/2006/relationships/hyperlink" Target="https://static.chipdip.ru/lib/348/DOC032348430.pdf" TargetMode="External"/><Relationship Id="rId5" Type="http://schemas.openxmlformats.org/officeDocument/2006/relationships/hyperlink" Target="https://static.chipdip.ru/lib/442/DOC011442004.pdf" TargetMode="External"/><Relationship Id="rId6" Type="http://schemas.openxmlformats.org/officeDocument/2006/relationships/hyperlink" Target="https://static.chipdip.ru/lib/529/DOC010529789.pdf" TargetMode="External"/><Relationship Id="rId7" Type="http://schemas.openxmlformats.org/officeDocument/2006/relationships/hyperlink" Target="https://static.chipdip.ru/lib/262/DOC005262075.pdf" TargetMode="External"/><Relationship Id="rId8" Type="http://schemas.openxmlformats.org/officeDocument/2006/relationships/hyperlink" Target="https://static.chipdip.ru/lib/416/DOC012416105.pdf" TargetMode="External"/><Relationship Id="rId9" Type="http://schemas.openxmlformats.org/officeDocument/2006/relationships/hyperlink" Target="https://static.chipdip.ru/lib/986/DOC003986581.pdf" TargetMode="External"/><Relationship Id="rId10" Type="http://schemas.openxmlformats.org/officeDocument/2006/relationships/hyperlink" Target="https://static.chipdip.ru/lib/248/DOC000248445.pdf" TargetMode="External"/><Relationship Id="rId11" Type="http://schemas.openxmlformats.org/officeDocument/2006/relationships/hyperlink" Target="https://static.chipdip.ru/lib/876/DOC015876362.pdf" TargetMode="External"/><Relationship Id="rId12" Type="http://schemas.openxmlformats.org/officeDocument/2006/relationships/hyperlink" Target="https://static.chipdip.ru/lib/375/DOC030375417.pdf" TargetMode="External"/><Relationship Id="rId13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583/DOC001583049.pdf" TargetMode="External"/><Relationship Id="rId2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www.elitan.ru/pdf/1/0/1/3/3/10133013.pdf" TargetMode="External"/><Relationship Id="rId2" Type="http://schemas.openxmlformats.org/officeDocument/2006/relationships/hyperlink" Target="https://static.chipdip.ru/lib/647/DOC053647214.pdf" TargetMode="External"/><Relationship Id="rId3" Type="http://schemas.openxmlformats.org/officeDocument/2006/relationships/table" Target="../tables/table1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68/DOC011868843.pdf" TargetMode="External"/><Relationship Id="rId2" Type="http://schemas.openxmlformats.org/officeDocument/2006/relationships/hyperlink" Target="https://static.chipdip.ru/lib/867/DOC050867185.pdf" TargetMode="External"/><Relationship Id="rId3" Type="http://schemas.openxmlformats.org/officeDocument/2006/relationships/hyperlink" Target="https://static.chipdip.ru/lib/931/DOC030931559.pdf" TargetMode="External"/><Relationship Id="rId4" Type="http://schemas.openxmlformats.org/officeDocument/2006/relationships/table" Target="../tables/table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93/DOC031893419.pdf" TargetMode="External"/><Relationship Id="rId2" Type="http://schemas.openxmlformats.org/officeDocument/2006/relationships/table" Target="../tables/table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6/a/AAB8000C177.pdf" TargetMode="External"/><Relationship Id="rId2" Type="http://schemas.openxmlformats.org/officeDocument/2006/relationships/hyperlink" Target="http://cdn.promelec.ru/upload/items/2022/11/10/SVPF-Series_.pdf" TargetMode="External"/><Relationship Id="rId3" Type="http://schemas.openxmlformats.org/officeDocument/2006/relationships/table" Target="../tables/table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53/DOC004153919.pdf" TargetMode="External"/><Relationship Id="rId2" Type="http://schemas.openxmlformats.org/officeDocument/2006/relationships/hyperlink" Target="https://static.chipdip.ru/lib/153/DOC004153919.pdf" TargetMode="External"/><Relationship Id="rId3" Type="http://schemas.openxmlformats.org/officeDocument/2006/relationships/hyperlink" Target="https://www.chipdip.ru/product/blm18ag102sn1d-1-kom-0.4a-0603-drossel-podavleniya-murata-9000029220" TargetMode="External"/><Relationship Id="rId4" Type="http://schemas.openxmlformats.org/officeDocument/2006/relationships/table" Target="../tables/table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3" Type="http://schemas.openxmlformats.org/officeDocument/2006/relationships/table" Target="../tables/table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77/DOC040177951.pdf" TargetMode="External"/><Relationship Id="rId2" Type="http://schemas.openxmlformats.org/officeDocument/2006/relationships/hyperlink" Target="https://cdn.promelec.ru/upload/datasheet/3/1/DS1120.pdf" TargetMode="External"/><Relationship Id="rId3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Relationship Id="rId5" Type="http://schemas.openxmlformats.org/officeDocument/2006/relationships/hyperlink" Target="https://cdn.promelec.ru/upload/items/2021/01/20/ENG_CD_406541_T.pdf" TargetMode="External"/><Relationship Id="rId6" Type="http://schemas.openxmlformats.org/officeDocument/2006/relationships/hyperlink" Target="https://cdn.promelec.ru/upload/items/2023/08/23/HR911130A_.pdf" TargetMode="External"/><Relationship Id="rId7" Type="http://schemas.openxmlformats.org/officeDocument/2006/relationships/hyperlink" Target="https://static.chipdip.ru/lib/149/DOC007149929.pdf" TargetMode="External"/><Relationship Id="rId8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75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B75" activeCellId="0" sqref="B75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1.43"/>
    <col collapsed="false" customWidth="true" hidden="false" outlineLevel="0" max="2" min="2" style="0" width="103.28"/>
    <col collapsed="false" customWidth="true" hidden="false" outlineLevel="0" max="3" min="3" style="0" width="21.43"/>
    <col collapsed="false" customWidth="true" hidden="false" outlineLevel="0" max="4" min="4" style="0" width="38"/>
    <col collapsed="false" customWidth="true" hidden="false" outlineLevel="0" max="5" min="5" style="0" width="21.43"/>
    <col collapsed="false" customWidth="true" hidden="false" outlineLevel="0" max="6" min="6" style="0" width="38.29"/>
    <col collapsed="false" customWidth="true" hidden="false" outlineLevel="0" max="7" min="7" style="0" width="21.43"/>
    <col collapsed="false" customWidth="true" hidden="false" outlineLevel="0" max="8" min="8" style="0" width="22.71"/>
    <col collapsed="false" customWidth="true" hidden="false" outlineLevel="0" max="9" min="9" style="0" width="18.29"/>
    <col collapsed="false" customWidth="true" hidden="false" outlineLevel="0" max="10" min="10" style="0" width="16.43"/>
    <col collapsed="false" customWidth="true" hidden="false" outlineLevel="0" max="11" min="11" style="0" width="14.57"/>
    <col collapsed="false" customWidth="true" hidden="false" outlineLevel="0" max="12" min="12" style="0" width="13.29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/>
      <c r="O1" s="1"/>
      <c r="P1" s="1"/>
      <c r="Q1" s="1"/>
      <c r="R1" s="1"/>
      <c r="S1" s="1"/>
      <c r="T1" s="1"/>
    </row>
    <row r="2" customFormat="false" ht="15" hidden="false" customHeight="false" outlineLevel="0" collapsed="false">
      <c r="A2" s="2" t="s">
        <v>13</v>
      </c>
      <c r="B2" s="2" t="s">
        <v>14</v>
      </c>
      <c r="C2" s="2" t="str">
        <f aca="false">A2</f>
        <v>STM32F407VGT6</v>
      </c>
      <c r="D2" s="2" t="str">
        <f aca="false">CONCATENATE("Schematic\",A2,".SchLib")</f>
        <v>Schematic\STM32F407VGT6.SchLib</v>
      </c>
      <c r="E2" s="2" t="str">
        <f aca="false">A2</f>
        <v>STM32F407VGT6</v>
      </c>
      <c r="F2" s="2" t="str">
        <f aca="false">CONCATENATE("Footprints\",G2,".PcbLib")</f>
        <v>Footprints\LQFP100.PcbLib</v>
      </c>
      <c r="G2" s="2" t="s">
        <v>15</v>
      </c>
    </row>
    <row r="3" customFormat="false" ht="15" hidden="false" customHeight="false" outlineLevel="0" collapsed="false">
      <c r="A3" s="2" t="s">
        <v>16</v>
      </c>
      <c r="B3" s="2" t="s">
        <v>17</v>
      </c>
      <c r="C3" s="2" t="str">
        <f aca="false">A3</f>
        <v>USBLC6-4</v>
      </c>
      <c r="D3" s="2" t="str">
        <f aca="false">CONCATENATE("Schematic\",A3,".SchLib")</f>
        <v>Schematic\USBLC6-4.SchLib</v>
      </c>
      <c r="E3" s="2" t="str">
        <f aca="false">A3</f>
        <v>USBLC6-4</v>
      </c>
      <c r="F3" s="2" t="str">
        <f aca="false">CONCATENATE("Footprints\",G3,".PcbLib")</f>
        <v>Footprints\SOT23-6.PcbLib</v>
      </c>
      <c r="G3" s="2" t="s">
        <v>18</v>
      </c>
    </row>
    <row r="4" customFormat="false" ht="15" hidden="false" customHeight="false" outlineLevel="0" collapsed="false">
      <c r="A4" s="2" t="s">
        <v>19</v>
      </c>
      <c r="B4" s="2" t="s">
        <v>20</v>
      </c>
      <c r="C4" s="2" t="str">
        <f aca="false">A4</f>
        <v>MAX485CSA</v>
      </c>
      <c r="D4" s="2" t="str">
        <f aca="false">CONCATENATE("Schematic\",A4,".SchLib")</f>
        <v>Schematic\MAX485CSA.SchLib</v>
      </c>
      <c r="E4" s="2" t="str">
        <f aca="false">A4</f>
        <v>MAX485CSA</v>
      </c>
      <c r="F4" s="2" t="str">
        <f aca="false">CONCATENATE("Footprints\",G4,".PcbLib")</f>
        <v>Footprints\SOIC-8.PcbLib</v>
      </c>
      <c r="G4" s="2" t="s">
        <v>21</v>
      </c>
    </row>
    <row r="5" customFormat="false" ht="15" hidden="false" customHeight="false" outlineLevel="0" collapsed="false">
      <c r="A5" s="0" t="s">
        <v>22</v>
      </c>
      <c r="B5" s="0" t="s">
        <v>14</v>
      </c>
      <c r="C5" s="2" t="str">
        <f aca="false">A5</f>
        <v>STM32F103C8T6</v>
      </c>
      <c r="D5" s="3" t="str">
        <f aca="false">CONCATENATE("Schematic\",A5,".SchLib")</f>
        <v>Schematic\STM32F103C8T6.SchLib</v>
      </c>
      <c r="E5" s="3" t="str">
        <f aca="false">A5</f>
        <v>STM32F103C8T6</v>
      </c>
      <c r="F5" s="3" t="str">
        <f aca="false">CONCATENATE("Footprints\",G5,".PcbLib")</f>
        <v>Footprints\LQFP48.PcbLib</v>
      </c>
      <c r="G5" s="3" t="s">
        <v>23</v>
      </c>
    </row>
    <row r="6" customFormat="false" ht="15" hidden="false" customHeight="false" outlineLevel="0" collapsed="false">
      <c r="A6" s="0" t="s">
        <v>24</v>
      </c>
      <c r="B6" s="0" t="s">
        <v>25</v>
      </c>
      <c r="C6" s="2" t="str">
        <f aca="false">A6</f>
        <v>LM2594HVM-ADJ</v>
      </c>
      <c r="D6" s="3" t="str">
        <f aca="false">CONCATENATE("Schematic\",A6,".SchLib")</f>
        <v>Schematic\LM2594HVM-ADJ.SchLib</v>
      </c>
      <c r="E6" s="3" t="str">
        <f aca="false">A6</f>
        <v>LM2594HVM-ADJ</v>
      </c>
      <c r="F6" s="3" t="str">
        <f aca="false">CONCATENATE("Footprints\",G6,".PcbLib")</f>
        <v>Footprints\SOIC-8.PcbLib</v>
      </c>
      <c r="G6" s="3" t="s">
        <v>21</v>
      </c>
    </row>
    <row r="7" customFormat="false" ht="15" hidden="false" customHeight="false" outlineLevel="0" collapsed="false">
      <c r="A7" s="0" t="s">
        <v>26</v>
      </c>
      <c r="B7" s="0" t="s">
        <v>27</v>
      </c>
      <c r="C7" s="2" t="str">
        <f aca="false">A7</f>
        <v>LD1117S33CTR</v>
      </c>
      <c r="D7" s="3" t="str">
        <f aca="false">CONCATENATE("Schematic\",A7,".SchLib")</f>
        <v>Schematic\LD1117S33CTR.SchLib</v>
      </c>
      <c r="E7" s="3" t="str">
        <f aca="false">A7</f>
        <v>LD1117S33CTR</v>
      </c>
      <c r="F7" s="3" t="str">
        <f aca="false">CONCATENATE("Footprints\",G7,".PcbLib")</f>
        <v>Footprints\SOT223.PcbLib</v>
      </c>
      <c r="G7" s="3" t="s">
        <v>28</v>
      </c>
    </row>
    <row r="8" customFormat="false" ht="15" hidden="false" customHeight="false" outlineLevel="0" collapsed="false">
      <c r="A8" s="0" t="s">
        <v>29</v>
      </c>
      <c r="B8" s="0" t="s">
        <v>30</v>
      </c>
      <c r="C8" s="2" t="str">
        <f aca="false">A8</f>
        <v>CD4050B</v>
      </c>
      <c r="D8" s="3" t="str">
        <f aca="false">CONCATENATE("Schematic\",A8,".SchLib")</f>
        <v>Schematic\CD4050B.SchLib</v>
      </c>
      <c r="E8" s="3" t="str">
        <f aca="false">A8</f>
        <v>CD4050B</v>
      </c>
      <c r="F8" s="3" t="str">
        <f aca="false">CONCATENATE("Footprints\",G8,".PcbLib")</f>
        <v>Footprints\SOIC-16.PcbLib</v>
      </c>
      <c r="G8" s="3" t="s">
        <v>31</v>
      </c>
      <c r="H8" s="3" t="s">
        <v>32</v>
      </c>
      <c r="I8" s="3" t="s">
        <v>33</v>
      </c>
      <c r="J8" s="3" t="s">
        <v>32</v>
      </c>
      <c r="K8" s="3" t="s">
        <v>34</v>
      </c>
      <c r="M8" s="3" t="s">
        <v>35</v>
      </c>
    </row>
    <row r="9" customFormat="false" ht="15" hidden="false" customHeight="false" outlineLevel="0" collapsed="false">
      <c r="A9" s="0" t="s">
        <v>36</v>
      </c>
      <c r="B9" s="0" t="s">
        <v>37</v>
      </c>
      <c r="C9" s="2" t="str">
        <f aca="false">A9</f>
        <v>ADM2483BRWZ</v>
      </c>
      <c r="D9" s="3" t="str">
        <f aca="false">CONCATENATE("Schematic\",A9,".SchLib")</f>
        <v>Schematic\ADM2483BRWZ.SchLib</v>
      </c>
      <c r="E9" s="3" t="str">
        <f aca="false">A9</f>
        <v>ADM2483BRWZ</v>
      </c>
      <c r="F9" s="3" t="str">
        <f aca="false">CONCATENATE("Footprints\",G9,".PcbLib")</f>
        <v>Footprints\SOIC-16W.PcbLib</v>
      </c>
      <c r="G9" s="3" t="s">
        <v>38</v>
      </c>
    </row>
    <row r="10" customFormat="false" ht="15" hidden="false" customHeight="false" outlineLevel="0" collapsed="false">
      <c r="A10" s="0" t="s">
        <v>39</v>
      </c>
      <c r="B10" s="0" t="s">
        <v>27</v>
      </c>
      <c r="C10" s="2" t="str">
        <f aca="false">A10</f>
        <v>LD1117S50CTR</v>
      </c>
      <c r="D10" s="3" t="str">
        <f aca="false">CONCATENATE("Schematic\",A10,".SchLib")</f>
        <v>Schematic\LD1117S50CTR.SchLib</v>
      </c>
      <c r="E10" s="3" t="str">
        <f aca="false">A10</f>
        <v>LD1117S50CTR</v>
      </c>
      <c r="F10" s="3" t="str">
        <f aca="false">CONCATENATE("Footprints\",G10,".PcbLib")</f>
        <v>Footprints\SOT223.PcbLib</v>
      </c>
      <c r="G10" s="3" t="s">
        <v>28</v>
      </c>
    </row>
    <row r="11" customFormat="false" ht="15" hidden="false" customHeight="false" outlineLevel="0" collapsed="false">
      <c r="A11" s="0" t="s">
        <v>40</v>
      </c>
      <c r="B11" s="0" t="s">
        <v>41</v>
      </c>
      <c r="C11" s="2" t="str">
        <f aca="false">A11</f>
        <v>VND5025</v>
      </c>
      <c r="D11" s="3" t="str">
        <f aca="false">CONCATENATE("Schematic\",A11,".SchLib")</f>
        <v>Schematic\VND5025.SchLib</v>
      </c>
      <c r="E11" s="3" t="str">
        <f aca="false">A11</f>
        <v>VND5025</v>
      </c>
      <c r="F11" s="3" t="str">
        <f aca="false">CONCATENATE("Footprints\",G11,".PcbLib")</f>
        <v>Footprints\POWERSSO24.PcbLib</v>
      </c>
      <c r="G11" s="3" t="s">
        <v>42</v>
      </c>
      <c r="M11" s="3" t="s">
        <v>35</v>
      </c>
    </row>
    <row r="12" customFormat="false" ht="15" hidden="false" customHeight="false" outlineLevel="0" collapsed="false">
      <c r="A12" s="0" t="s">
        <v>43</v>
      </c>
      <c r="B12" s="0" t="s">
        <v>44</v>
      </c>
      <c r="C12" s="2" t="str">
        <f aca="false">A12</f>
        <v>SN74LVC1G17DCKR</v>
      </c>
      <c r="D12" s="3" t="str">
        <f aca="false">CONCATENATE("Schematic\",A12,".SchLib")</f>
        <v>Schematic\SN74LVC1G17DCKR.SchLib</v>
      </c>
      <c r="E12" s="3" t="str">
        <f aca="false">A12</f>
        <v>SN74LVC1G17DCKR</v>
      </c>
      <c r="F12" s="3" t="str">
        <f aca="false">CONCATENATE("Footprints\",G12,".PcbLib")</f>
        <v>Footprints\SC-70-5.PcbLib</v>
      </c>
      <c r="G12" s="3" t="s">
        <v>45</v>
      </c>
      <c r="M12" s="3" t="s">
        <v>35</v>
      </c>
    </row>
    <row r="13" customFormat="false" ht="15" hidden="false" customHeight="false" outlineLevel="0" collapsed="false">
      <c r="A13" s="0" t="s">
        <v>46</v>
      </c>
      <c r="B13" s="0" t="s">
        <v>47</v>
      </c>
      <c r="C13" s="2" t="str">
        <f aca="false">A13</f>
        <v>74LVC1G74DP,125</v>
      </c>
      <c r="D13" s="3" t="str">
        <f aca="false">CONCATENATE("Schematic\",A13,".SchLib")</f>
        <v>Schematic\74LVC1G74DP,125.SchLib</v>
      </c>
      <c r="E13" s="3" t="str">
        <f aca="false">A13</f>
        <v>74LVC1G74DP,125</v>
      </c>
      <c r="F13" s="3" t="str">
        <f aca="false">CONCATENATE("Footprints\",G13,".PcbLib")</f>
        <v>Footprints\TSSOP-8.PcbLib</v>
      </c>
      <c r="G13" s="3" t="s">
        <v>48</v>
      </c>
      <c r="M13" s="3" t="s">
        <v>35</v>
      </c>
    </row>
    <row r="14" customFormat="false" ht="15" hidden="false" customHeight="false" outlineLevel="0" collapsed="false">
      <c r="A14" s="0" t="s">
        <v>49</v>
      </c>
      <c r="B14" s="0" t="s">
        <v>50</v>
      </c>
      <c r="C14" s="2" t="s">
        <v>49</v>
      </c>
      <c r="D14" s="3" t="str">
        <f aca="false">CONCATENATE("Schematic\",A14,".SchLib")</f>
        <v>Schematic\RT8279GSP.SchLib</v>
      </c>
      <c r="E14" s="3" t="str">
        <f aca="false">A14</f>
        <v>RT8279GSP</v>
      </c>
      <c r="F14" s="3" t="str">
        <f aca="false">CONCATENATE("Footprints\",G14,".PcbLib")</f>
        <v>Footprints\8SOP(Exposed_Pad).PcbLib</v>
      </c>
      <c r="G14" s="3" t="s">
        <v>51</v>
      </c>
      <c r="M14" s="3" t="s">
        <v>35</v>
      </c>
    </row>
    <row r="15" customFormat="false" ht="15" hidden="false" customHeight="false" outlineLevel="0" collapsed="false">
      <c r="A15" s="0" t="s">
        <v>52</v>
      </c>
      <c r="B15" s="0" t="s">
        <v>53</v>
      </c>
      <c r="C15" s="2" t="str">
        <f aca="false">A15</f>
        <v>TP4056</v>
      </c>
      <c r="D15" s="3" t="str">
        <f aca="false">CONCATENATE("Schematic\",A15,".SchLib")</f>
        <v>Schematic\TP4056.SchLib</v>
      </c>
      <c r="E15" s="3" t="str">
        <f aca="false">A15</f>
        <v>TP4056</v>
      </c>
      <c r="F15" s="3" t="str">
        <f aca="false">CONCATENATE("Footprints\",G15,".PcbLib")</f>
        <v>Footprints\8SOP(Exposed_Pad).PcbLib</v>
      </c>
      <c r="G15" s="3" t="s">
        <v>51</v>
      </c>
      <c r="M15" s="3" t="s">
        <v>35</v>
      </c>
    </row>
    <row r="16" customFormat="false" ht="15" hidden="false" customHeight="false" outlineLevel="0" collapsed="false">
      <c r="A16" s="0" t="s">
        <v>54</v>
      </c>
      <c r="B16" s="0" t="s">
        <v>55</v>
      </c>
      <c r="C16" s="2" t="str">
        <f aca="false">A16</f>
        <v>LM2623AMMX</v>
      </c>
      <c r="D16" s="3" t="str">
        <f aca="false">CONCATENATE("Schematic\",A16,".SchLib")</f>
        <v>Schematic\LM2623AMMX.SchLib</v>
      </c>
      <c r="E16" s="3" t="str">
        <f aca="false">A16</f>
        <v>LM2623AMMX</v>
      </c>
      <c r="F16" s="3" t="str">
        <f aca="false">CONCATENATE("Footprints\",G16,".PcbLib")</f>
        <v>Footprints\VSSOP-8.PcbLib</v>
      </c>
      <c r="G16" s="3" t="s">
        <v>56</v>
      </c>
      <c r="M16" s="3" t="s">
        <v>35</v>
      </c>
    </row>
    <row r="17" customFormat="false" ht="15" hidden="false" customHeight="false" outlineLevel="0" collapsed="false">
      <c r="A17" s="0" t="s">
        <v>57</v>
      </c>
      <c r="B17" s="0" t="s">
        <v>58</v>
      </c>
      <c r="C17" s="2" t="str">
        <f aca="false">A17</f>
        <v>DW01</v>
      </c>
      <c r="D17" s="3" t="str">
        <f aca="false">CONCATENATE("Schematic\",A17,".SchLib")</f>
        <v>Schematic\DW01.SchLib</v>
      </c>
      <c r="E17" s="3" t="str">
        <f aca="false">A17</f>
        <v>DW01</v>
      </c>
      <c r="F17" s="3" t="str">
        <f aca="false">CONCATENATE("Footprints\",G17,".PcbLib")</f>
        <v>Footprints\SOT23-6.PcbLib</v>
      </c>
      <c r="G17" s="3" t="s">
        <v>18</v>
      </c>
      <c r="M17" s="3" t="s">
        <v>35</v>
      </c>
    </row>
    <row r="18" customFormat="false" ht="15" hidden="false" customHeight="false" outlineLevel="0" collapsed="false">
      <c r="A18" s="0" t="s">
        <v>59</v>
      </c>
      <c r="B18" s="0" t="s">
        <v>60</v>
      </c>
      <c r="C18" s="2" t="str">
        <f aca="false">A18</f>
        <v>arduino_nano</v>
      </c>
      <c r="D18" s="3" t="str">
        <f aca="false">CONCATENATE("Schematic\",A18,".SchLib")</f>
        <v>Schematic\arduino_nano.SchLib</v>
      </c>
      <c r="E18" s="3" t="str">
        <f aca="false">A18</f>
        <v>arduino_nano</v>
      </c>
      <c r="F18" s="3" t="str">
        <f aca="false">CONCATENATE("Footprints\",G18,".PcbLib")</f>
        <v>Footprints\arduino_nano.PcbLib</v>
      </c>
      <c r="G18" s="3" t="s">
        <v>59</v>
      </c>
      <c r="M18" s="3" t="s">
        <v>35</v>
      </c>
    </row>
    <row r="19" customFormat="false" ht="15" hidden="false" customHeight="false" outlineLevel="0" collapsed="false">
      <c r="A19" s="0" t="s">
        <v>61</v>
      </c>
      <c r="B19" s="0" t="s">
        <v>62</v>
      </c>
      <c r="C19" s="2" t="str">
        <f aca="false">A19</f>
        <v>TPS61088</v>
      </c>
      <c r="D19" s="3" t="str">
        <f aca="false">CONCATENATE("Schematic\",A19,".SchLib")</f>
        <v>Schematic\TPS61088.SchLib</v>
      </c>
      <c r="E19" s="3" t="str">
        <f aca="false">A19</f>
        <v>TPS61088</v>
      </c>
      <c r="F19" s="3" t="str">
        <f aca="false">CONCATENATE("Footprints\",G19,".PcbLib")</f>
        <v>Footprints\VQFN-RHL.PcbLib</v>
      </c>
      <c r="G19" s="3" t="s">
        <v>63</v>
      </c>
      <c r="M19" s="3" t="s">
        <v>35</v>
      </c>
    </row>
    <row r="20" customFormat="false" ht="16.4" hidden="false" customHeight="false" outlineLevel="0" collapsed="false">
      <c r="A20" s="4" t="s">
        <v>64</v>
      </c>
      <c r="B20" s="3" t="s">
        <v>65</v>
      </c>
      <c r="C20" s="2" t="str">
        <f aca="false">A20</f>
        <v>RT8509A</v>
      </c>
      <c r="D20" s="3" t="str">
        <f aca="false">CONCATENATE("Schematic\",A20,".SchLib")</f>
        <v>Schematic\RT8509A.SchLib</v>
      </c>
      <c r="E20" s="3" t="str">
        <f aca="false">A20</f>
        <v>RT8509A</v>
      </c>
      <c r="F20" s="3" t="str">
        <f aca="false">CONCATENATE("Footprints\",G20,".PcbLib")</f>
        <v>Footprints\WDFN5x5-12.PcbLib</v>
      </c>
      <c r="G20" s="3" t="s">
        <v>66</v>
      </c>
      <c r="M20" s="3" t="s">
        <v>35</v>
      </c>
    </row>
    <row r="21" customFormat="false" ht="15" hidden="false" customHeight="false" outlineLevel="0" collapsed="false">
      <c r="A21" s="0" t="s">
        <v>67</v>
      </c>
      <c r="B21" s="0" t="s">
        <v>68</v>
      </c>
      <c r="C21" s="2" t="s">
        <v>67</v>
      </c>
      <c r="D21" s="3" t="str">
        <f aca="false">CONCATENATE("Schematic\",A21,".SchLib")</f>
        <v>Schematic\VN7140AS.SchLib</v>
      </c>
      <c r="E21" s="3" t="str">
        <f aca="false">A21</f>
        <v>VN7140AS</v>
      </c>
      <c r="F21" s="3" t="str">
        <f aca="false">CONCATENATE("Footprints\",G21,".PcbLib")</f>
        <v>Footprints\SOP8.PcbLib</v>
      </c>
      <c r="G21" s="3" t="s">
        <v>69</v>
      </c>
      <c r="M21" s="3" t="s">
        <v>35</v>
      </c>
    </row>
    <row r="22" customFormat="false" ht="15" hidden="false" customHeight="false" outlineLevel="0" collapsed="false">
      <c r="A22" s="0" t="s">
        <v>70</v>
      </c>
      <c r="B22" s="0" t="s">
        <v>71</v>
      </c>
      <c r="C22" s="2" t="str">
        <f aca="false">A22</f>
        <v>74HC4051PW,118</v>
      </c>
      <c r="D22" s="3" t="str">
        <f aca="false">CONCATENATE("Schematic\",A22,".SchLib")</f>
        <v>Schematic\74HC4051PW,118.SchLib</v>
      </c>
      <c r="E22" s="3" t="str">
        <f aca="false">A22</f>
        <v>74HC4051PW,118</v>
      </c>
      <c r="F22" s="3" t="str">
        <f aca="false">CONCATENATE("Footprints\",G22,".PcbLib")</f>
        <v>Footprints\TSSOP-16.PcbLib</v>
      </c>
      <c r="G22" s="3" t="s">
        <v>72</v>
      </c>
      <c r="M22" s="3" t="s">
        <v>35</v>
      </c>
    </row>
    <row r="23" customFormat="false" ht="15" hidden="false" customHeight="false" outlineLevel="0" collapsed="false">
      <c r="A23" s="0" t="s">
        <v>73</v>
      </c>
      <c r="B23" s="0" t="s">
        <v>74</v>
      </c>
      <c r="C23" s="2" t="str">
        <f aca="false">A23</f>
        <v>sim800l</v>
      </c>
      <c r="D23" s="3" t="str">
        <f aca="false">CONCATENATE("Schematic\",A23,".SchLib")</f>
        <v>Schematic\sim800l.SchLib</v>
      </c>
      <c r="E23" s="3" t="str">
        <f aca="false">A23</f>
        <v>sim800l</v>
      </c>
      <c r="F23" s="3" t="str">
        <f aca="false">CONCATENATE("Footprints\",G23,".PcbLib")</f>
        <v>Footprints\sim800l.PcbLib</v>
      </c>
      <c r="G23" s="3" t="s">
        <v>73</v>
      </c>
      <c r="M23" s="3" t="s">
        <v>35</v>
      </c>
    </row>
    <row r="24" customFormat="false" ht="15" hidden="false" customHeight="false" outlineLevel="0" collapsed="false">
      <c r="A24" s="0" t="s">
        <v>75</v>
      </c>
      <c r="B24" s="0" t="s">
        <v>76</v>
      </c>
      <c r="C24" s="2" t="str">
        <f aca="false">A24</f>
        <v>74HC139D,653</v>
      </c>
      <c r="D24" s="3" t="str">
        <f aca="false">CONCATENATE("Schematic\",A24,".SchLib")</f>
        <v>Schematic\74HC139D,653.SchLib</v>
      </c>
      <c r="E24" s="3" t="str">
        <f aca="false">A24</f>
        <v>74HC139D,653</v>
      </c>
      <c r="F24" s="3" t="str">
        <f aca="false">CONCATENATE("Footprints\",G24,".PcbLib")</f>
        <v>Footprints\SOIC-16.PcbLib</v>
      </c>
      <c r="G24" s="3" t="s">
        <v>31</v>
      </c>
      <c r="M24" s="3" t="s">
        <v>35</v>
      </c>
    </row>
    <row r="25" customFormat="false" ht="15" hidden="false" customHeight="false" outlineLevel="0" collapsed="false">
      <c r="A25" s="0" t="s">
        <v>77</v>
      </c>
      <c r="B25" s="0" t="s">
        <v>78</v>
      </c>
      <c r="C25" s="2" t="str">
        <f aca="false">A25</f>
        <v>CD4555BM</v>
      </c>
      <c r="D25" s="3" t="str">
        <f aca="false">CONCATENATE("Schematic\",A25,".SchLib")</f>
        <v>Schematic\CD4555BM.SchLib</v>
      </c>
      <c r="E25" s="3" t="str">
        <f aca="false">A25</f>
        <v>CD4555BM</v>
      </c>
      <c r="F25" s="3" t="str">
        <f aca="false">CONCATENATE("Footprints\",G25,".PcbLib")</f>
        <v>Footprints\SOIC-16.PcbLib</v>
      </c>
      <c r="G25" s="3" t="s">
        <v>31</v>
      </c>
      <c r="M25" s="3" t="s">
        <v>35</v>
      </c>
    </row>
    <row r="26" customFormat="false" ht="15" hidden="false" customHeight="false" outlineLevel="0" collapsed="false">
      <c r="A26" s="0" t="s">
        <v>79</v>
      </c>
      <c r="B26" s="0" t="s">
        <v>80</v>
      </c>
      <c r="C26" s="2" t="s">
        <v>79</v>
      </c>
      <c r="D26" s="3" t="s">
        <v>81</v>
      </c>
      <c r="E26" s="3" t="s">
        <v>79</v>
      </c>
      <c r="F26" s="3" t="s">
        <v>82</v>
      </c>
      <c r="G26" s="3" t="s">
        <v>31</v>
      </c>
      <c r="M26" s="3" t="s">
        <v>35</v>
      </c>
    </row>
    <row r="27" customFormat="false" ht="15" hidden="false" customHeight="false" outlineLevel="0" collapsed="false">
      <c r="A27" s="0" t="s">
        <v>83</v>
      </c>
      <c r="B27" s="0" t="s">
        <v>84</v>
      </c>
      <c r="C27" s="2" t="str">
        <f aca="false">A27</f>
        <v>MT3608</v>
      </c>
      <c r="D27" s="3" t="str">
        <f aca="false">CONCATENATE("Schematic\",A27,".SchLib")</f>
        <v>Schematic\MT3608.SchLib</v>
      </c>
      <c r="E27" s="3" t="str">
        <f aca="false">A27</f>
        <v>MT3608</v>
      </c>
      <c r="F27" s="3" t="str">
        <f aca="false">CONCATENATE("Footprints\",G27,".PcbLib")</f>
        <v>Footprints\SOT23-6.PcbLib</v>
      </c>
      <c r="G27" s="3" t="s">
        <v>18</v>
      </c>
      <c r="M27" s="3" t="s">
        <v>35</v>
      </c>
    </row>
    <row r="28" customFormat="false" ht="15" hidden="false" customHeight="false" outlineLevel="0" collapsed="false">
      <c r="A28" s="0" t="s">
        <v>85</v>
      </c>
      <c r="B28" s="0" t="s">
        <v>86</v>
      </c>
      <c r="C28" s="2" t="str">
        <f aca="false">A28</f>
        <v>CD4013BE</v>
      </c>
      <c r="D28" s="3" t="str">
        <f aca="false">CONCATENATE("Schematic\",A28,".SchLib")</f>
        <v>Schematic\CD4013BE.SchLib</v>
      </c>
      <c r="E28" s="3" t="str">
        <f aca="false">A28</f>
        <v>CD4013BE</v>
      </c>
      <c r="F28" s="3" t="s">
        <v>87</v>
      </c>
      <c r="G28" s="3" t="s">
        <v>88</v>
      </c>
      <c r="H28" s="3" t="s">
        <v>87</v>
      </c>
      <c r="I28" s="3" t="s">
        <v>89</v>
      </c>
      <c r="M28" s="3" t="s">
        <v>35</v>
      </c>
    </row>
    <row r="29" customFormat="false" ht="15" hidden="false" customHeight="false" outlineLevel="0" collapsed="false">
      <c r="A29" s="0" t="s">
        <v>90</v>
      </c>
      <c r="B29" s="0" t="s">
        <v>91</v>
      </c>
      <c r="C29" s="2" t="str">
        <f aca="false">A29</f>
        <v>STM32F103C8T6_board</v>
      </c>
      <c r="D29" s="3" t="str">
        <f aca="false">CONCATENATE("Schematic\",A29,".SchLib")</f>
        <v>Schematic\STM32F103C8T6_board.SchLib</v>
      </c>
      <c r="E29" s="3" t="str">
        <f aca="false">A29</f>
        <v>STM32F103C8T6_board</v>
      </c>
      <c r="F29" s="3" t="str">
        <f aca="false">CONCATENATE("Footprints\",G29,".PcbLib")</f>
        <v>Footprints\STM32F103C8T6_board.PcbLib</v>
      </c>
      <c r="G29" s="3" t="s">
        <v>90</v>
      </c>
    </row>
    <row r="30" customFormat="false" ht="15" hidden="false" customHeight="false" outlineLevel="0" collapsed="false">
      <c r="A30" s="0" t="s">
        <v>92</v>
      </c>
      <c r="B30" s="0" t="s">
        <v>93</v>
      </c>
      <c r="C30" s="2" t="str">
        <f aca="false">A30</f>
        <v>RPI</v>
      </c>
      <c r="D30" s="3" t="str">
        <f aca="false">CONCATENATE("Schematic\",A30,".SchLib")</f>
        <v>Schematic\RPI.SchLib</v>
      </c>
      <c r="E30" s="3" t="str">
        <f aca="false">A30</f>
        <v>RPI</v>
      </c>
      <c r="F30" s="3" t="str">
        <f aca="false">CONCATENATE("Footprints\",G30,".PcbLib")</f>
        <v>Footprints\RPI.PcbLib</v>
      </c>
      <c r="G30" s="3" t="s">
        <v>92</v>
      </c>
    </row>
    <row r="31" customFormat="false" ht="15" hidden="false" customHeight="false" outlineLevel="0" collapsed="false">
      <c r="A31" s="0" t="s">
        <v>94</v>
      </c>
      <c r="B31" s="0" t="s">
        <v>95</v>
      </c>
      <c r="C31" s="2" t="str">
        <f aca="false">A31</f>
        <v>LTC4418</v>
      </c>
      <c r="D31" s="3" t="str">
        <f aca="false">CONCATENATE("Schematic\",A31,".SchLib")</f>
        <v>Schematic\LTC4418.SchLib</v>
      </c>
      <c r="E31" s="3" t="str">
        <f aca="false">A31</f>
        <v>LTC4418</v>
      </c>
      <c r="F31" s="3" t="str">
        <f aca="false">CONCATENATE("Footprints\",G31,".PcbLib")</f>
        <v>Footprints\QFN50.PcbLib</v>
      </c>
      <c r="G31" s="3" t="s">
        <v>96</v>
      </c>
    </row>
    <row r="32" customFormat="false" ht="15" hidden="false" customHeight="false" outlineLevel="0" collapsed="false">
      <c r="A32" s="0" t="s">
        <v>97</v>
      </c>
      <c r="B32" s="0" t="s">
        <v>98</v>
      </c>
      <c r="C32" s="2" t="str">
        <f aca="false">A32</f>
        <v>NE555</v>
      </c>
      <c r="D32" s="3" t="str">
        <f aca="false">CONCATENATE("Schematic\",A32,".SchLib")</f>
        <v>Schematic\NE555.SchLib</v>
      </c>
      <c r="E32" s="3" t="str">
        <f aca="false">A32</f>
        <v>NE555</v>
      </c>
      <c r="F32" s="3" t="str">
        <f aca="false">CONCATENATE("Footprints\",G32,".PcbLib")</f>
        <v>Footprints\SOIC-8.PcbLib</v>
      </c>
      <c r="G32" s="3" t="s">
        <v>21</v>
      </c>
      <c r="M32" s="3" t="s">
        <v>35</v>
      </c>
    </row>
    <row r="33" customFormat="false" ht="15" hidden="false" customHeight="false" outlineLevel="0" collapsed="false">
      <c r="A33" s="0" t="s">
        <v>99</v>
      </c>
      <c r="B33" s="0" t="s">
        <v>100</v>
      </c>
      <c r="C33" s="2" t="str">
        <f aca="false">A33</f>
        <v>LM393</v>
      </c>
      <c r="D33" s="3" t="str">
        <f aca="false">CONCATENATE("Schematic\",A33,".SchLib")</f>
        <v>Schematic\LM393.SchLib</v>
      </c>
      <c r="E33" s="3" t="str">
        <f aca="false">A33</f>
        <v>LM393</v>
      </c>
      <c r="F33" s="3" t="str">
        <f aca="false">CONCATENATE("Footprints\",G33,".PcbLib")</f>
        <v>Footprints\SOIC-8.PcbLib</v>
      </c>
      <c r="G33" s="3" t="s">
        <v>21</v>
      </c>
      <c r="M33" s="3" t="s">
        <v>35</v>
      </c>
    </row>
    <row r="34" customFormat="false" ht="15" hidden="false" customHeight="false" outlineLevel="0" collapsed="false">
      <c r="A34" s="0" t="s">
        <v>101</v>
      </c>
      <c r="B34" s="0" t="s">
        <v>102</v>
      </c>
      <c r="C34" s="2" t="str">
        <f aca="false">A34</f>
        <v>LD7575</v>
      </c>
      <c r="D34" s="3" t="str">
        <f aca="false">CONCATENATE("Schematic\",A34,".SchLib")</f>
        <v>Schematic\LD7575.SchLib</v>
      </c>
      <c r="E34" s="3" t="str">
        <f aca="false">A34</f>
        <v>LD7575</v>
      </c>
      <c r="F34" s="3" t="str">
        <f aca="false">CONCATENATE("Footprints\",G34,".PcbLib")</f>
        <v>Footprints\SOP8.PcbLib</v>
      </c>
      <c r="G34" s="3" t="s">
        <v>69</v>
      </c>
      <c r="M34" s="3" t="s">
        <v>35</v>
      </c>
    </row>
    <row r="35" customFormat="false" ht="15" hidden="false" customHeight="false" outlineLevel="0" collapsed="false">
      <c r="A35" s="0" t="s">
        <v>103</v>
      </c>
      <c r="B35" s="0" t="s">
        <v>104</v>
      </c>
      <c r="C35" s="2" t="str">
        <f aca="false">A35</f>
        <v>MAX668</v>
      </c>
      <c r="D35" s="3" t="str">
        <f aca="false">CONCATENATE("Schematic\",A35,".SchLib")</f>
        <v>Schematic\MAX668.SchLib</v>
      </c>
      <c r="E35" s="3" t="str">
        <f aca="false">A35</f>
        <v>MAX668</v>
      </c>
      <c r="F35" s="3" t="str">
        <f aca="false">CONCATENATE("Footprints\",G35,".PcbLib")</f>
        <v>Footprints\uSOP10.PcbLib</v>
      </c>
      <c r="G35" s="3" t="s">
        <v>105</v>
      </c>
      <c r="M35" s="3" t="s">
        <v>35</v>
      </c>
    </row>
    <row r="36" customFormat="false" ht="15" hidden="false" customHeight="false" outlineLevel="0" collapsed="false">
      <c r="A36" s="0" t="s">
        <v>106</v>
      </c>
      <c r="B36" s="0" t="s">
        <v>107</v>
      </c>
      <c r="C36" s="2" t="str">
        <f aca="false">A36</f>
        <v>LTV354T</v>
      </c>
      <c r="D36" s="3" t="str">
        <f aca="false">CONCATENATE("Schematic\",E36,".SchLib")</f>
        <v>Schematic\LTV354.SchLib</v>
      </c>
      <c r="E36" s="3" t="s">
        <v>108</v>
      </c>
      <c r="F36" s="3" t="str">
        <f aca="false">CONCATENATE("Footprints\",G36,".PcbLib")</f>
        <v>Footprints\SOP4-2_54.PcbLib</v>
      </c>
      <c r="G36" s="3" t="s">
        <v>109</v>
      </c>
      <c r="M36" s="3" t="s">
        <v>35</v>
      </c>
    </row>
    <row r="37" customFormat="false" ht="15" hidden="false" customHeight="false" outlineLevel="0" collapsed="false">
      <c r="A37" s="0" t="s">
        <v>110</v>
      </c>
      <c r="B37" s="0" t="s">
        <v>111</v>
      </c>
      <c r="C37" s="2" t="str">
        <f aca="false">A37</f>
        <v>SN74LVC1G14DCKR</v>
      </c>
      <c r="D37" s="3" t="str">
        <f aca="false">CONCATENATE("Schematic\",A37,".SchLib")</f>
        <v>Schematic\SN74LVC1G14DCKR.SchLib</v>
      </c>
      <c r="E37" s="3" t="str">
        <f aca="false">A37</f>
        <v>SN74LVC1G14DCKR</v>
      </c>
      <c r="F37" s="3" t="str">
        <f aca="false">CONCATENATE("Footprints\",G37,".PcbLib")</f>
        <v>Footprints\SC-70-5.PcbLib</v>
      </c>
      <c r="G37" s="3" t="s">
        <v>45</v>
      </c>
    </row>
    <row r="38" customFormat="false" ht="15" hidden="false" customHeight="false" outlineLevel="0" collapsed="false">
      <c r="A38" s="0" t="s">
        <v>112</v>
      </c>
      <c r="B38" s="0" t="s">
        <v>113</v>
      </c>
      <c r="C38" s="2" t="str">
        <f aca="false">A38</f>
        <v>USB2514BM2</v>
      </c>
      <c r="D38" s="3" t="s">
        <v>114</v>
      </c>
      <c r="E38" s="2" t="s">
        <v>112</v>
      </c>
      <c r="F38" s="3" t="str">
        <f aca="false">CONCATENATE("Footprints\",G38,".PcbLib")</f>
        <v>Footprints\VFQFN-36.PcbLib</v>
      </c>
      <c r="G38" s="3" t="s">
        <v>115</v>
      </c>
    </row>
    <row r="39" customFormat="false" ht="15" hidden="false" customHeight="false" outlineLevel="0" collapsed="false">
      <c r="A39" s="0" t="s">
        <v>116</v>
      </c>
      <c r="B39" s="0" t="s">
        <v>117</v>
      </c>
      <c r="C39" s="2" t="s">
        <v>116</v>
      </c>
      <c r="D39" s="3" t="str">
        <f aca="false">CONCATENATE("Schematic\",A39,".SchLib")</f>
        <v>Schematic\RTL8367N-VB-CG.SchLib</v>
      </c>
      <c r="E39" s="3" t="str">
        <f aca="false">A39</f>
        <v>RTL8367N-VB-CG</v>
      </c>
      <c r="F39" s="3" t="str">
        <f aca="false">CONCATENATE("Footprints\",G39,".PcbLib")</f>
        <v>Footprints\QFN40.PcbLib</v>
      </c>
      <c r="G39" s="3" t="s">
        <v>118</v>
      </c>
    </row>
    <row r="40" customFormat="false" ht="15" hidden="false" customHeight="false" outlineLevel="0" collapsed="false">
      <c r="A40" s="0" t="s">
        <v>119</v>
      </c>
      <c r="B40" s="0" t="s">
        <v>120</v>
      </c>
      <c r="C40" s="2" t="str">
        <f aca="false">A40</f>
        <v>CM4</v>
      </c>
      <c r="D40" s="3" t="str">
        <f aca="false">CONCATENATE("Schematic\",A40,".SchLib")</f>
        <v>Schematic\CM4.SchLib</v>
      </c>
      <c r="E40" s="3" t="str">
        <f aca="false">A40</f>
        <v>CM4</v>
      </c>
      <c r="F40" s="3" t="str">
        <f aca="false">CONCATENATE("Footprints\CM4.PcbLib")</f>
        <v>Footprints\CM4.PcbLib</v>
      </c>
      <c r="G40" s="3" t="s">
        <v>121</v>
      </c>
    </row>
    <row r="41" customFormat="false" ht="15" hidden="false" customHeight="false" outlineLevel="0" collapsed="false">
      <c r="A41" s="0" t="s">
        <v>122</v>
      </c>
      <c r="B41" s="0" t="s">
        <v>123</v>
      </c>
      <c r="C41" s="2" t="str">
        <f aca="false">A41</f>
        <v>CM5</v>
      </c>
      <c r="D41" s="3" t="str">
        <f aca="false">CONCATENATE("Schematic\CM4.SchLib")</f>
        <v>Schematic\CM4.SchLib</v>
      </c>
      <c r="E41" s="3" t="str">
        <f aca="false">A41</f>
        <v>CM5</v>
      </c>
      <c r="F41" s="3" t="str">
        <f aca="false">CONCATENATE("Footprints\CM4.PcbLib")</f>
        <v>Footprints\CM4.PcbLib</v>
      </c>
      <c r="G41" s="3" t="s">
        <v>124</v>
      </c>
      <c r="L41" s="3" t="s">
        <v>125</v>
      </c>
    </row>
    <row r="42" customFormat="false" ht="15" hidden="false" customHeight="false" outlineLevel="0" collapsed="false">
      <c r="A42" s="0" t="s">
        <v>126</v>
      </c>
      <c r="B42" s="0" t="s">
        <v>127</v>
      </c>
      <c r="C42" s="2" t="str">
        <f aca="false">A42</f>
        <v>ADP2301AUJZ-R7</v>
      </c>
      <c r="D42" s="3" t="str">
        <f aca="false">CONCATENATE("Schematic\",E42,".SchLib")</f>
        <v>Schematic\ADP2300.SchLib</v>
      </c>
      <c r="E42" s="3" t="s">
        <v>128</v>
      </c>
      <c r="F42" s="3" t="str">
        <f aca="false">CONCATENATE("Footprints\",G27,".PcbLib")</f>
        <v>Footprints\SOT23-6.PcbLib</v>
      </c>
      <c r="G42" s="3" t="s">
        <v>18</v>
      </c>
    </row>
    <row r="43" customFormat="false" ht="15" hidden="false" customHeight="false" outlineLevel="0" collapsed="false">
      <c r="A43" s="0" t="s">
        <v>129</v>
      </c>
      <c r="B43" s="0" t="s">
        <v>130</v>
      </c>
      <c r="C43" s="2" t="str">
        <f aca="false">A43</f>
        <v>LM5116MH</v>
      </c>
      <c r="D43" s="3" t="str">
        <f aca="false">CONCATENATE("Schematic\",A43,".SchLib")</f>
        <v>Schematic\LM5116MH.SchLib</v>
      </c>
      <c r="E43" s="3" t="str">
        <f aca="false">A43</f>
        <v>LM5116MH</v>
      </c>
      <c r="F43" s="3" t="str">
        <f aca="false">CONCATENATE("Footprints\",G43,".PcbLib")</f>
        <v>Footprints\HTSSOP-20.PcbLib</v>
      </c>
      <c r="G43" s="3" t="s">
        <v>131</v>
      </c>
    </row>
    <row r="44" customFormat="false" ht="15" hidden="false" customHeight="false" outlineLevel="0" collapsed="false">
      <c r="A44" s="5" t="s">
        <v>132</v>
      </c>
      <c r="B44" s="6" t="s">
        <v>133</v>
      </c>
      <c r="C44" s="7" t="str">
        <f aca="false">A44</f>
        <v>IXDN602</v>
      </c>
      <c r="D44" s="6" t="str">
        <f aca="false">CONCATENATE("Schematic\",A44,".SchLib")</f>
        <v>Schematic\IXDN602.SchLib</v>
      </c>
      <c r="E44" s="6" t="str">
        <f aca="false">A44</f>
        <v>IXDN602</v>
      </c>
      <c r="F44" s="6" t="str">
        <f aca="false">CONCATENATE("Footprints\",G44,".PcbLib")</f>
        <v>Footprints\SOIC-8.PcbLib</v>
      </c>
      <c r="G44" s="6" t="s">
        <v>21</v>
      </c>
    </row>
    <row r="45" customFormat="false" ht="15" hidden="false" customHeight="false" outlineLevel="0" collapsed="false">
      <c r="A45" s="0" t="s">
        <v>134</v>
      </c>
      <c r="B45" s="0" t="s">
        <v>135</v>
      </c>
      <c r="C45" s="2" t="str">
        <f aca="false">A45</f>
        <v>LMC555</v>
      </c>
      <c r="D45" s="3" t="str">
        <f aca="false">CONCATENATE("Schematic\",A33,".SchLib")</f>
        <v>Schematic\LM393.SchLib</v>
      </c>
      <c r="E45" s="3" t="str">
        <f aca="false">A33</f>
        <v>LM393</v>
      </c>
      <c r="F45" s="3" t="str">
        <f aca="false">CONCATENATE("Footprints\",G45,".PcbLib")</f>
        <v>Footprints\SOIC-8.PcbLib</v>
      </c>
      <c r="G45" s="3" t="s">
        <v>21</v>
      </c>
      <c r="H45" s="2"/>
    </row>
    <row r="46" customFormat="false" ht="15" hidden="false" customHeight="false" outlineLevel="0" collapsed="false">
      <c r="A46" s="8" t="s">
        <v>136</v>
      </c>
      <c r="B46" s="9" t="s">
        <v>137</v>
      </c>
      <c r="C46" s="10" t="str">
        <f aca="false">A46</f>
        <v>MC3306A</v>
      </c>
      <c r="D46" s="9" t="str">
        <f aca="false">CONCATENATE("Schematic\",A46,".SchLib")</f>
        <v>Schematic\MC3306A.SchLib</v>
      </c>
      <c r="E46" s="9" t="str">
        <f aca="false">A46</f>
        <v>MC3306A</v>
      </c>
      <c r="F46" s="9" t="str">
        <f aca="false">CONCATENATE("Footprints\",G46,".PcbLib")</f>
        <v>Footprints\SOIC-8.PcbLib</v>
      </c>
      <c r="G46" s="9" t="s">
        <v>21</v>
      </c>
    </row>
    <row r="47" customFormat="false" ht="15" hidden="false" customHeight="false" outlineLevel="0" collapsed="false">
      <c r="A47" s="0" t="s">
        <v>138</v>
      </c>
      <c r="B47" s="0" t="s">
        <v>139</v>
      </c>
      <c r="C47" s="2" t="str">
        <f aca="false">A47</f>
        <v>RTL8367RB-VB</v>
      </c>
      <c r="D47" s="3" t="str">
        <f aca="false">CONCATENATE("Schematic\",E47,".SchLib")</f>
        <v>Schematic\RTL8367RB-VB_gost.SchLib</v>
      </c>
      <c r="E47" s="3" t="s">
        <v>140</v>
      </c>
      <c r="F47" s="3" t="str">
        <f aca="false">CONCATENATE("Footprints\",G47,".PcbLib")</f>
        <v>Footprints\LQFP128_14x14_exposed_pad.PcbLib</v>
      </c>
      <c r="G47" s="3" t="s">
        <v>141</v>
      </c>
      <c r="L47" s="3" t="s">
        <v>142</v>
      </c>
      <c r="M47" s="3" t="s">
        <v>35</v>
      </c>
    </row>
    <row r="48" customFormat="false" ht="15" hidden="false" customHeight="false" outlineLevel="0" collapsed="false">
      <c r="A48" s="8" t="s">
        <v>143</v>
      </c>
      <c r="B48" s="9" t="s">
        <v>144</v>
      </c>
      <c r="C48" s="10" t="str">
        <f aca="false">A48</f>
        <v>TS951ILT</v>
      </c>
      <c r="D48" s="9" t="str">
        <f aca="false">CONCATENATE("Schematic\",A48,".SchLib")</f>
        <v>Schematic\TS951ILT.SchLib</v>
      </c>
      <c r="E48" s="9" t="str">
        <f aca="false">A48</f>
        <v>TS951ILT</v>
      </c>
      <c r="F48" s="9" t="str">
        <f aca="false">CONCATENATE("Footprints\",G48,".PcbLib")</f>
        <v>Footprints\SOT23-5.PcbLib</v>
      </c>
      <c r="G48" s="9" t="s">
        <v>145</v>
      </c>
      <c r="M48" s="3" t="s">
        <v>146</v>
      </c>
    </row>
    <row r="49" customFormat="false" ht="15" hidden="false" customHeight="false" outlineLevel="0" collapsed="false">
      <c r="A49" s="0" t="s">
        <v>147</v>
      </c>
      <c r="B49" s="0" t="s">
        <v>148</v>
      </c>
      <c r="C49" s="2" t="str">
        <f aca="false">A49</f>
        <v>AP63200</v>
      </c>
      <c r="D49" s="3" t="str">
        <f aca="false">CONCATENATE("Schematic\",A49,".SchLib")</f>
        <v>Schematic\AP63200.SchLib</v>
      </c>
      <c r="E49" s="3" t="str">
        <f aca="false">A49</f>
        <v>AP63200</v>
      </c>
      <c r="F49" s="3" t="str">
        <f aca="false">CONCATENATE("Footprints\",G49,".PcbLib")</f>
        <v>Footprints\TSOT26.PcbLib</v>
      </c>
      <c r="G49" s="3" t="s">
        <v>149</v>
      </c>
    </row>
    <row r="50" customFormat="false" ht="15" hidden="false" customHeight="false" outlineLevel="0" collapsed="false">
      <c r="A50" s="0" t="s">
        <v>150</v>
      </c>
      <c r="B50" s="0" t="s">
        <v>86</v>
      </c>
      <c r="C50" s="2" t="str">
        <f aca="false">A50</f>
        <v>74HC74D,653</v>
      </c>
      <c r="D50" s="3" t="str">
        <f aca="false">CONCATENATE("Schematic\",A50,".SchLib")</f>
        <v>Schematic\74HC74D,653.SchLib</v>
      </c>
      <c r="E50" s="3" t="str">
        <f aca="false">A50</f>
        <v>74HC74D,653</v>
      </c>
      <c r="F50" s="3" t="str">
        <f aca="false">CONCATENATE("Footprints\",G50,".PcbLib")</f>
        <v>Footprints\SOIC-14.PcbLib</v>
      </c>
      <c r="G50" s="3" t="s">
        <v>151</v>
      </c>
      <c r="M50" s="3" t="s">
        <v>146</v>
      </c>
    </row>
    <row r="51" customFormat="false" ht="15" hidden="false" customHeight="false" outlineLevel="0" collapsed="false">
      <c r="A51" s="0" t="s">
        <v>152</v>
      </c>
      <c r="B51" s="0" t="s">
        <v>153</v>
      </c>
      <c r="C51" s="2" t="str">
        <f aca="false">A51</f>
        <v>AP63203</v>
      </c>
      <c r="D51" s="3" t="str">
        <f aca="false">CONCATENATE("Schematic\",A51,".SchLib")</f>
        <v>Schematic\AP63203.SchLib</v>
      </c>
      <c r="E51" s="3" t="str">
        <f aca="false">A51</f>
        <v>AP63203</v>
      </c>
      <c r="F51" s="3" t="str">
        <f aca="false">CONCATENATE("Footprints\",G51,".PcbLib")</f>
        <v>Footprints\TSOT26.PcbLib</v>
      </c>
      <c r="G51" s="3" t="s">
        <v>149</v>
      </c>
    </row>
    <row r="52" customFormat="false" ht="16.4" hidden="false" customHeight="false" outlineLevel="0" collapsed="false">
      <c r="A52" s="8" t="s">
        <v>154</v>
      </c>
      <c r="B52" s="9" t="s">
        <v>155</v>
      </c>
      <c r="C52" s="10" t="str">
        <f aca="false">A52</f>
        <v>IRS21867</v>
      </c>
      <c r="D52" s="9" t="str">
        <f aca="false">CONCATENATE("Schematic\",A52,".SchLib")</f>
        <v>Schematic\IRS21867.SchLib</v>
      </c>
      <c r="E52" s="9" t="str">
        <f aca="false">A52</f>
        <v>IRS21867</v>
      </c>
      <c r="F52" s="9" t="str">
        <f aca="false">CONCATENATE("Footprints\",G52,".PcbLib")</f>
        <v>Footprints\SOIC-8.PcbLib</v>
      </c>
      <c r="G52" s="9" t="s">
        <v>21</v>
      </c>
      <c r="L52" s="11" t="s">
        <v>156</v>
      </c>
      <c r="M52" s="3" t="s">
        <v>146</v>
      </c>
    </row>
    <row r="53" customFormat="false" ht="15" hidden="false" customHeight="false" outlineLevel="0" collapsed="false">
      <c r="A53" s="0" t="s">
        <v>157</v>
      </c>
      <c r="B53" s="0" t="s">
        <v>158</v>
      </c>
      <c r="C53" s="2" t="str">
        <f aca="false">A53</f>
        <v>CM5116000</v>
      </c>
      <c r="D53" s="3" t="str">
        <f aca="false">CONCATENATE("Schematic\",A53,".SchLib")</f>
        <v>Schematic\CM5116000.SchLib</v>
      </c>
      <c r="E53" s="3" t="str">
        <f aca="false">A53</f>
        <v>CM5116000</v>
      </c>
      <c r="F53" s="3" t="str">
        <f aca="false">CONCATENATE("Footprints\CM5116000.PcbLib")</f>
        <v>Footprints\CM5116000.PcbLib</v>
      </c>
      <c r="G53" s="3" t="s">
        <v>157</v>
      </c>
      <c r="L53" s="3" t="s">
        <v>159</v>
      </c>
      <c r="M53" s="3" t="s">
        <v>35</v>
      </c>
    </row>
    <row r="54" customFormat="false" ht="16.4" hidden="false" customHeight="false" outlineLevel="0" collapsed="false">
      <c r="A54" s="0" t="s">
        <v>160</v>
      </c>
      <c r="B54" s="0" t="s">
        <v>161</v>
      </c>
      <c r="C54" s="2" t="str">
        <f aca="false">A54</f>
        <v>ST1S40IPUR</v>
      </c>
      <c r="D54" s="3" t="str">
        <f aca="false">CONCATENATE("Schematic\",A54,".SchLib")</f>
        <v>Schematic\ST1S40IPUR.SchLib</v>
      </c>
      <c r="E54" s="3" t="str">
        <f aca="false">A54</f>
        <v>ST1S40IPUR</v>
      </c>
      <c r="F54" s="3" t="str">
        <f aca="false">CONCATENATE("Footprints\",G54,".PcbLib")</f>
        <v>Footprints\VFQFPN8-4X4.PcbLib</v>
      </c>
      <c r="G54" s="3" t="s">
        <v>162</v>
      </c>
      <c r="L54" s="11" t="s">
        <v>163</v>
      </c>
      <c r="M54" s="3" t="s">
        <v>35</v>
      </c>
    </row>
    <row r="55" customFormat="false" ht="15" hidden="false" customHeight="false" outlineLevel="0" collapsed="false">
      <c r="A55" s="0" t="s">
        <v>164</v>
      </c>
      <c r="B55" s="0" t="s">
        <v>165</v>
      </c>
      <c r="C55" s="2" t="str">
        <f aca="false">A55</f>
        <v>MT9700</v>
      </c>
      <c r="D55" s="3" t="str">
        <f aca="false">CONCATENATE("Schematic\",A55,".SchLib")</f>
        <v>Schematic\MT9700.SchLib</v>
      </c>
      <c r="E55" s="3" t="str">
        <f aca="false">A55</f>
        <v>MT9700</v>
      </c>
      <c r="F55" s="3" t="str">
        <f aca="false">CONCATENATE("Footprints\",G55,".PcbLib")</f>
        <v>Footprints\SOT23-5.PcbLib</v>
      </c>
      <c r="G55" s="3" t="s">
        <v>145</v>
      </c>
      <c r="L55" s="3" t="s">
        <v>166</v>
      </c>
      <c r="M55" s="3" t="s">
        <v>35</v>
      </c>
    </row>
    <row r="56" customFormat="false" ht="16.4" hidden="false" customHeight="false" outlineLevel="0" collapsed="false">
      <c r="A56" s="0" t="s">
        <v>167</v>
      </c>
      <c r="B56" s="0" t="s">
        <v>168</v>
      </c>
      <c r="C56" s="2" t="str">
        <f aca="false">A56</f>
        <v>NSi8100NC</v>
      </c>
      <c r="D56" s="3" t="str">
        <f aca="false">CONCATENATE("Schematic\",A56,".SchLib")</f>
        <v>Schematic\NSi8100NC.SchLib</v>
      </c>
      <c r="E56" s="3" t="str">
        <f aca="false">A56</f>
        <v>NSi8100NC</v>
      </c>
      <c r="F56" s="3" t="str">
        <f aca="false">CONCATENATE("Footprints\",G56,".PcbLib")</f>
        <v>Footprints\SOIC-8.PcbLib</v>
      </c>
      <c r="G56" s="2" t="s">
        <v>21</v>
      </c>
      <c r="L56" s="11" t="s">
        <v>169</v>
      </c>
      <c r="M56" s="3" t="s">
        <v>170</v>
      </c>
    </row>
    <row r="57" customFormat="false" ht="16.4" hidden="false" customHeight="false" outlineLevel="0" collapsed="false">
      <c r="A57" s="8" t="s">
        <v>171</v>
      </c>
      <c r="B57" s="3" t="s">
        <v>172</v>
      </c>
      <c r="C57" s="2" t="str">
        <f aca="false">A57</f>
        <v>UCC27211</v>
      </c>
      <c r="D57" s="3" t="str">
        <f aca="false">CONCATENATE("Schematic\",A57,".SchLib")</f>
        <v>Schematic\UCC27211.SchLib</v>
      </c>
      <c r="E57" s="3" t="str">
        <f aca="false">A57</f>
        <v>UCC27211</v>
      </c>
      <c r="F57" s="3" t="str">
        <f aca="false">CONCATENATE("Footprints\",G57,".PcbLib")</f>
        <v>Footprints\SOIC-8.PcbLib</v>
      </c>
      <c r="G57" s="2" t="s">
        <v>21</v>
      </c>
      <c r="L57" s="11" t="s">
        <v>173</v>
      </c>
      <c r="M57" s="3" t="s">
        <v>146</v>
      </c>
    </row>
    <row r="58" customFormat="false" ht="16.4" hidden="false" customHeight="false" outlineLevel="0" collapsed="false">
      <c r="A58" s="0" t="s">
        <v>174</v>
      </c>
      <c r="B58" s="0" t="s">
        <v>175</v>
      </c>
      <c r="C58" s="2" t="str">
        <f aca="false">A58</f>
        <v>AD8656</v>
      </c>
      <c r="D58" s="3" t="str">
        <f aca="false">CONCATENATE("Schematic\",A58,".SchLib")</f>
        <v>Schematic\AD8656.SchLib</v>
      </c>
      <c r="E58" s="3" t="str">
        <f aca="false">A58</f>
        <v>AD8656</v>
      </c>
      <c r="F58" s="3" t="str">
        <f aca="false">CONCATENATE("Footprints\",G58,".PcbLib")</f>
        <v>Footprints\SOIC-8.PcbLib</v>
      </c>
      <c r="G58" s="2" t="s">
        <v>21</v>
      </c>
      <c r="H58" s="3" t="str">
        <f aca="false">CONCATENATE("Footprints\",I58,".PcbLib")</f>
        <v>Footprints\MSOP-8.PcbLib</v>
      </c>
      <c r="I58" s="2" t="s">
        <v>176</v>
      </c>
      <c r="L58" s="11" t="s">
        <v>177</v>
      </c>
      <c r="M58" s="3" t="s">
        <v>146</v>
      </c>
    </row>
    <row r="59" customFormat="false" ht="16.4" hidden="false" customHeight="false" outlineLevel="0" collapsed="false">
      <c r="A59" s="0" t="s">
        <v>178</v>
      </c>
      <c r="B59" s="2" t="s">
        <v>179</v>
      </c>
      <c r="C59" s="2" t="str">
        <f aca="false">A59</f>
        <v>STM32H743VIT6</v>
      </c>
      <c r="D59" s="3" t="str">
        <f aca="false">CONCATENATE("Schematic\",A59,".SchLib")</f>
        <v>Schematic\STM32H743VIT6.SchLib</v>
      </c>
      <c r="E59" s="3" t="str">
        <f aca="false">A59</f>
        <v>STM32H743VIT6</v>
      </c>
      <c r="F59" s="3" t="str">
        <f aca="false">CONCATENATE("Footprints\",G59,".PcbLib")</f>
        <v>Footprints\LQFP100.PcbLib</v>
      </c>
      <c r="G59" s="2" t="s">
        <v>15</v>
      </c>
      <c r="L59" s="11" t="s">
        <v>180</v>
      </c>
      <c r="M59" s="3" t="s">
        <v>146</v>
      </c>
    </row>
    <row r="60" customFormat="false" ht="16.4" hidden="false" customHeight="false" outlineLevel="0" collapsed="false">
      <c r="A60" s="0" t="s">
        <v>181</v>
      </c>
      <c r="B60" s="0" t="s">
        <v>182</v>
      </c>
      <c r="C60" s="2" t="str">
        <f aca="false">A60</f>
        <v>AD8031</v>
      </c>
      <c r="D60" s="3" t="str">
        <f aca="false">CONCATENATE("Schematic\",A60,".SchLib")</f>
        <v>Schematic\AD8031.SchLib</v>
      </c>
      <c r="E60" s="3" t="str">
        <f aca="false">A60</f>
        <v>AD8031</v>
      </c>
      <c r="F60" s="3" t="str">
        <f aca="false">CONCATENATE("Footprints\",G60,".PcbLib")</f>
        <v>Footprints\SOT23-5.PcbLib</v>
      </c>
      <c r="G60" s="3" t="s">
        <v>145</v>
      </c>
      <c r="L60" s="11" t="s">
        <v>183</v>
      </c>
      <c r="M60" s="3" t="s">
        <v>146</v>
      </c>
    </row>
    <row r="61" customFormat="false" ht="16.4" hidden="false" customHeight="false" outlineLevel="0" collapsed="false">
      <c r="A61" s="0" t="s">
        <v>184</v>
      </c>
      <c r="B61" s="0" t="s">
        <v>185</v>
      </c>
      <c r="C61" s="2" t="str">
        <f aca="false">A61</f>
        <v>AP63205</v>
      </c>
      <c r="D61" s="3" t="str">
        <f aca="false">CONCATENATE("Schematic\",E61,".SchLib")</f>
        <v>Schematic\AP63205.SchLib</v>
      </c>
      <c r="E61" s="3" t="s">
        <v>184</v>
      </c>
      <c r="F61" s="3" t="str">
        <f aca="false">CONCATENATE("Footprints\",G61,".PcbLib")</f>
        <v>Footprints\TSOT26.PcbLib</v>
      </c>
      <c r="G61" s="3" t="s">
        <v>149</v>
      </c>
      <c r="L61" s="11" t="s">
        <v>186</v>
      </c>
      <c r="M61" s="12" t="s">
        <v>146</v>
      </c>
    </row>
    <row r="62" customFormat="false" ht="16.4" hidden="false" customHeight="false" outlineLevel="0" collapsed="false">
      <c r="A62" s="0" t="s">
        <v>187</v>
      </c>
      <c r="B62" s="0" t="s">
        <v>188</v>
      </c>
      <c r="C62" s="2" t="str">
        <f aca="false">A62</f>
        <v>ADP150AUJZ-3.3</v>
      </c>
      <c r="D62" s="3" t="str">
        <f aca="false">CONCATENATE("Schematic\",E62,".SchLib")</f>
        <v>Schematic\ADP150AUJZ-3.3.SchLib</v>
      </c>
      <c r="E62" s="13" t="str">
        <f aca="false">A62</f>
        <v>ADP150AUJZ-3.3</v>
      </c>
      <c r="F62" s="13" t="str">
        <f aca="false">CONCATENATE("Footprints\",G62,".PcbLib")</f>
        <v>Footprints\SOT23-5.PcbLib</v>
      </c>
      <c r="G62" s="13" t="s">
        <v>145</v>
      </c>
      <c r="L62" s="11" t="s">
        <v>189</v>
      </c>
      <c r="M62" s="14" t="s">
        <v>146</v>
      </c>
    </row>
    <row r="63" customFormat="false" ht="16.4" hidden="false" customHeight="false" outlineLevel="0" collapsed="false">
      <c r="A63" s="0" t="s">
        <v>190</v>
      </c>
      <c r="B63" s="0" t="s">
        <v>191</v>
      </c>
      <c r="C63" s="2" t="str">
        <f aca="false">A63</f>
        <v>REF3030AIDBZR</v>
      </c>
      <c r="D63" s="3" t="str">
        <f aca="false">CONCATENATE("Schematic\",A63,".SchLib")</f>
        <v>Schematic\REF3030AIDBZR.SchLib</v>
      </c>
      <c r="E63" s="3" t="str">
        <f aca="false">A63</f>
        <v>REF3030AIDBZR</v>
      </c>
      <c r="F63" s="3" t="str">
        <f aca="false">CONCATENATE("Footprints\",G63,".PcbLib")</f>
        <v>Footprints\SOT23-3.PcbLib</v>
      </c>
      <c r="G63" s="3" t="s">
        <v>192</v>
      </c>
      <c r="L63" s="11" t="s">
        <v>193</v>
      </c>
      <c r="M63" s="14" t="s">
        <v>146</v>
      </c>
    </row>
    <row r="64" customFormat="false" ht="16.4" hidden="false" customHeight="false" outlineLevel="0" collapsed="false">
      <c r="A64" s="0" t="s">
        <v>194</v>
      </c>
      <c r="B64" s="0" t="s">
        <v>195</v>
      </c>
      <c r="C64" s="2" t="str">
        <f aca="false">A64</f>
        <v>MAX3051EKA+T</v>
      </c>
      <c r="D64" s="3" t="str">
        <f aca="false">CONCATENATE("Schematic\",A64,".SchLib")</f>
        <v>Schematic\MAX3051EKA+T.SchLib</v>
      </c>
      <c r="E64" s="3" t="str">
        <f aca="false">A64</f>
        <v>MAX3051EKA+T</v>
      </c>
      <c r="F64" s="3" t="str">
        <f aca="false">CONCATENATE("Footprints\",G64,".PcbLib")</f>
        <v>Footprints\SOT23-8.PcbLib</v>
      </c>
      <c r="G64" s="3" t="s">
        <v>196</v>
      </c>
      <c r="L64" s="11" t="s">
        <v>197</v>
      </c>
      <c r="M64" s="14" t="s">
        <v>146</v>
      </c>
    </row>
    <row r="65" customFormat="false" ht="15" hidden="false" customHeight="false" outlineLevel="0" collapsed="false">
      <c r="A65" s="0" t="s">
        <v>198</v>
      </c>
      <c r="B65" s="2" t="s">
        <v>14</v>
      </c>
      <c r="C65" s="2" t="str">
        <f aca="false">A65</f>
        <v>ATTINY412</v>
      </c>
      <c r="D65" s="3" t="str">
        <f aca="false">CONCATENATE("Schematic\",A65,".SchLib")</f>
        <v>Schematic\ATTINY412.SchLib</v>
      </c>
      <c r="E65" s="3" t="str">
        <f aca="false">A65</f>
        <v>ATTINY412</v>
      </c>
      <c r="F65" s="3" t="str">
        <f aca="false">CONCATENATE("Footprints\",G65,".PcbLib")</f>
        <v>Footprints\SOIC-8.PcbLib</v>
      </c>
      <c r="G65" s="9" t="s">
        <v>21</v>
      </c>
      <c r="L65" s="3" t="s">
        <v>199</v>
      </c>
      <c r="M65" s="3" t="s">
        <v>200</v>
      </c>
    </row>
    <row r="66" customFormat="false" ht="16.4" hidden="false" customHeight="false" outlineLevel="0" collapsed="false">
      <c r="A66" s="0" t="s">
        <v>201</v>
      </c>
      <c r="B66" s="0" t="s">
        <v>202</v>
      </c>
      <c r="C66" s="2" t="str">
        <f aca="false">A66</f>
        <v>CH340N</v>
      </c>
      <c r="D66" s="3" t="str">
        <f aca="false">CONCATENATE("Schematic\",A66,".SchLib")</f>
        <v>Schematic\CH340N.SchLib</v>
      </c>
      <c r="E66" s="3" t="str">
        <f aca="false">A66</f>
        <v>CH340N</v>
      </c>
      <c r="F66" s="3" t="str">
        <f aca="false">CONCATENATE("Footprints\",G66,".PcbLib")</f>
        <v>Footprints\SOP8.PcbLib</v>
      </c>
      <c r="G66" s="3" t="s">
        <v>69</v>
      </c>
      <c r="L66" s="11" t="s">
        <v>203</v>
      </c>
      <c r="M66" s="3" t="s">
        <v>200</v>
      </c>
    </row>
    <row r="67" customFormat="false" ht="15" hidden="false" customHeight="false" outlineLevel="0" collapsed="false">
      <c r="A67" s="0" t="s">
        <v>204</v>
      </c>
      <c r="B67" s="0" t="s">
        <v>205</v>
      </c>
      <c r="C67" s="2" t="str">
        <f aca="false">A67</f>
        <v>MAX809</v>
      </c>
      <c r="D67" s="3" t="str">
        <f aca="false">CONCATENATE("Schematic\",A67,".SchLib")</f>
        <v>Schematic\MAX809.SchLib</v>
      </c>
      <c r="E67" s="3" t="str">
        <f aca="false">A67</f>
        <v>MAX809</v>
      </c>
      <c r="F67" s="3" t="str">
        <f aca="false">CONCATENATE("Footprints\",G67,".PcbLib")</f>
        <v>Footprints\SOT23-3.PcbLib</v>
      </c>
      <c r="G67" s="3" t="s">
        <v>192</v>
      </c>
      <c r="L67" s="3" t="s">
        <v>206</v>
      </c>
      <c r="M67" s="3" t="s">
        <v>200</v>
      </c>
    </row>
    <row r="68" customFormat="false" ht="15" hidden="false" customHeight="false" outlineLevel="0" collapsed="false">
      <c r="A68" s="0" t="s">
        <v>207</v>
      </c>
      <c r="B68" s="0" t="s">
        <v>208</v>
      </c>
      <c r="C68" s="2" t="str">
        <f aca="false">A68</f>
        <v>XT4052</v>
      </c>
      <c r="D68" s="3" t="str">
        <f aca="false">CONCATENATE("Schematic\",A68,".SchLib")</f>
        <v>Schematic\XT4052.SchLib</v>
      </c>
      <c r="E68" s="3" t="str">
        <f aca="false">A68</f>
        <v>XT4052</v>
      </c>
      <c r="F68" s="3" t="str">
        <f aca="false">CONCATENATE("Footprints\",G68,".PcbLib")</f>
        <v>Footprints\SOT23-5.PcbLib</v>
      </c>
      <c r="G68" s="9" t="s">
        <v>145</v>
      </c>
      <c r="L68" s="11" t="s">
        <v>209</v>
      </c>
      <c r="M68" s="3" t="s">
        <v>200</v>
      </c>
    </row>
    <row r="69" customFormat="false" ht="15" hidden="false" customHeight="false" outlineLevel="0" collapsed="false">
      <c r="A69" s="0" t="s">
        <v>210</v>
      </c>
      <c r="B69" s="0" t="s">
        <v>211</v>
      </c>
      <c r="C69" s="2" t="str">
        <f aca="false">A69</f>
        <v>WS2812B</v>
      </c>
      <c r="D69" s="3" t="str">
        <f aca="false">CONCATENATE("Schematic\",A69,".SchLib")</f>
        <v>Schematic\WS2812B.SchLib</v>
      </c>
      <c r="E69" s="3" t="str">
        <f aca="false">A69</f>
        <v>WS2812B</v>
      </c>
      <c r="F69" s="3" t="str">
        <f aca="false">CONCATENATE("Footprints\",G69,".PcbLib")</f>
        <v>Footprints\LED_RGB_5MM.PcbLib</v>
      </c>
      <c r="G69" s="3" t="s">
        <v>212</v>
      </c>
      <c r="L69" s="3" t="s">
        <v>213</v>
      </c>
      <c r="M69" s="3" t="s">
        <v>200</v>
      </c>
    </row>
    <row r="70" customFormat="false" ht="15" hidden="false" customHeight="false" outlineLevel="0" collapsed="false">
      <c r="A70" s="0" t="s">
        <v>214</v>
      </c>
      <c r="B70" s="0" t="s">
        <v>215</v>
      </c>
      <c r="C70" s="2" t="str">
        <f aca="false">A70</f>
        <v>URB2405YMD-15WR3</v>
      </c>
      <c r="D70" s="3" t="str">
        <f aca="false">CONCATENATE("Schematic\",A70,".SchLib")</f>
        <v>Schematic\URB2405YMD-15WR3.SchLib</v>
      </c>
      <c r="E70" s="3" t="s">
        <v>214</v>
      </c>
      <c r="F70" s="3" t="str">
        <f aca="false">CONCATENATE("Footprints\",G70,".PcbLib")</f>
        <v>Footprints\URB2405YMD-15WR3.PcbLib</v>
      </c>
      <c r="G70" s="3" t="s">
        <v>214</v>
      </c>
      <c r="L70" s="3" t="s">
        <v>216</v>
      </c>
      <c r="M70" s="3" t="s">
        <v>217</v>
      </c>
    </row>
    <row r="71" customFormat="false" ht="15" hidden="false" customHeight="false" outlineLevel="0" collapsed="false">
      <c r="A71" s="0" t="s">
        <v>218</v>
      </c>
      <c r="B71" s="0" t="s">
        <v>219</v>
      </c>
      <c r="C71" s="2" t="str">
        <f aca="false">A71</f>
        <v>ADR02BUJZ</v>
      </c>
      <c r="D71" s="3" t="str">
        <f aca="false">CONCATENATE("Schematic\",A71,".SchLib")</f>
        <v>Schematic\ADR02BUJZ.SchLib</v>
      </c>
      <c r="E71" s="3" t="str">
        <f aca="false">A71</f>
        <v>ADR02BUJZ</v>
      </c>
      <c r="F71" s="3" t="str">
        <f aca="false">CONCATENATE("Footprints\",G71,".PcbLib")</f>
        <v>Footprints\SOT23-5.PcbLib</v>
      </c>
      <c r="G71" s="13" t="s">
        <v>145</v>
      </c>
      <c r="L71" s="11" t="s">
        <v>220</v>
      </c>
      <c r="M71" s="3" t="s">
        <v>221</v>
      </c>
    </row>
    <row r="72" customFormat="false" ht="15" hidden="false" customHeight="false" outlineLevel="0" collapsed="false">
      <c r="A72" s="0" t="s">
        <v>222</v>
      </c>
      <c r="B72" s="15" t="s">
        <v>223</v>
      </c>
      <c r="C72" s="2" t="str">
        <f aca="false">A72</f>
        <v>ADS1220IPWR</v>
      </c>
      <c r="D72" s="3" t="str">
        <f aca="false">CONCATENATE("Schematic\",A72,".SchLib")</f>
        <v>Schematic\ADS1220IPWR.SchLib</v>
      </c>
      <c r="E72" s="3" t="str">
        <f aca="false">A72</f>
        <v>ADS1220IPWR</v>
      </c>
      <c r="F72" s="3" t="str">
        <f aca="false">CONCATENATE("Footprints\",G72,".PcbLib")</f>
        <v>Footprints\TSSOP-16.PcbLib</v>
      </c>
      <c r="G72" s="3" t="s">
        <v>72</v>
      </c>
      <c r="L72" s="11" t="s">
        <v>224</v>
      </c>
      <c r="M72" s="3" t="s">
        <v>225</v>
      </c>
    </row>
    <row r="73" customFormat="false" ht="15" hidden="false" customHeight="false" outlineLevel="0" collapsed="false">
      <c r="A73" s="0" t="s">
        <v>226</v>
      </c>
      <c r="B73" s="0" t="s">
        <v>227</v>
      </c>
      <c r="C73" s="0" t="s">
        <v>226</v>
      </c>
      <c r="D73" s="0" t="str">
        <f aca="false">CONCATENATE("Schematic\",A73,".SchLib")</f>
        <v>Schematic\AP63203WU-7.SchLib</v>
      </c>
      <c r="E73" s="0" t="s">
        <v>226</v>
      </c>
      <c r="F73" s="0" t="str">
        <f aca="false">CONCATENATE("Footprints\",G73,".PcbLib")</f>
        <v>Footprints\SOT23-8.PcbLib</v>
      </c>
      <c r="G73" s="0" t="s">
        <v>196</v>
      </c>
      <c r="L73" s="11" t="s">
        <v>228</v>
      </c>
      <c r="M73" s="3" t="s">
        <v>225</v>
      </c>
    </row>
    <row r="74" customFormat="false" ht="15" hidden="false" customHeight="false" outlineLevel="0" collapsed="false">
      <c r="A74" s="0" t="s">
        <v>229</v>
      </c>
      <c r="B74" s="0" t="s">
        <v>230</v>
      </c>
      <c r="C74" s="2" t="str">
        <f aca="false">A74</f>
        <v>CH676767</v>
      </c>
      <c r="D74" s="3" t="str">
        <f aca="false">CONCATENATE("Schematic\",A74,".SchLib")</f>
        <v>Schematic\CH676767.SchLib</v>
      </c>
      <c r="E74" s="3" t="str">
        <f aca="false">A74</f>
        <v>CH676767</v>
      </c>
      <c r="F74" s="3" t="str">
        <f aca="false">CONCATENATE("Footprints\",G74,".PcbLib")</f>
        <v>Footprints\SOT23-5.PcbLib</v>
      </c>
      <c r="G74" s="3" t="s">
        <v>145</v>
      </c>
      <c r="L74" s="3" t="s">
        <v>166</v>
      </c>
      <c r="M74" s="3" t="s">
        <v>35</v>
      </c>
    </row>
    <row r="75" customFormat="false" ht="15" hidden="false" customHeight="false" outlineLevel="0" collapsed="false">
      <c r="A75" s="0" t="s">
        <v>231</v>
      </c>
      <c r="B75" s="0" t="s">
        <v>232</v>
      </c>
      <c r="C75" s="2" t="str">
        <f aca="false">A75</f>
        <v>ADM51</v>
      </c>
      <c r="D75" s="3" t="str">
        <f aca="false">CONCATENATE("Schematic\",A75,".SchLib")</f>
        <v>Schematic\ADM51.SchLib</v>
      </c>
      <c r="E75" s="3" t="str">
        <f aca="false">A75</f>
        <v>ADM51</v>
      </c>
      <c r="F75" s="3" t="str">
        <f aca="false">CONCATENATE("Footprints\",G75,".PcbLib")</f>
        <v>Footprints\SOIC-16W.PcbLib</v>
      </c>
      <c r="G75" s="3" t="s">
        <v>38</v>
      </c>
      <c r="L75" s="3" t="s">
        <v>142</v>
      </c>
      <c r="M75" s="3" t="s">
        <v>35</v>
      </c>
    </row>
  </sheetData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  <hyperlink ref="L57" r:id="rId4" display="https://static.chipdip.ru/lib/348/DOC032348430.pdf"/>
    <hyperlink ref="L58" r:id="rId5" display="https://static.chipdip.ru/lib/442/DOC011442004.pdf"/>
    <hyperlink ref="L59" r:id="rId6" display="https://static.chipdip.ru/lib/529/DOC010529789.pdf"/>
    <hyperlink ref="L60" r:id="rId7" display="https://static.chipdip.ru/lib/262/DOC005262075.pdf"/>
    <hyperlink ref="L61" r:id="rId8" display="https://static.chipdip.ru/lib/416/DOC012416105.pdf"/>
    <hyperlink ref="L62" r:id="rId9" display="https://static.chipdip.ru/lib/986/DOC003986581.pdf"/>
    <hyperlink ref="L63" r:id="rId10" display="https://static.chipdip.ru/lib/248/DOC000248445.pdf"/>
    <hyperlink ref="L64" r:id="rId11" display="https://static.chipdip.ru/lib/876/DOC015876362.pdf"/>
    <hyperlink ref="L66" r:id="rId12" display="https://static.chipdip.ru/lib/375/DOC030375417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2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3.57"/>
    <col collapsed="false" customWidth="true" hidden="false" outlineLevel="0" max="2" min="2" style="0" width="33.57"/>
    <col collapsed="false" customWidth="true" hidden="false" outlineLevel="0" max="3" min="3" style="0" width="11.28"/>
    <col collapsed="false" customWidth="true" hidden="false" outlineLevel="0" max="4" min="4" style="0" width="31.28"/>
    <col collapsed="false" customWidth="true" hidden="false" outlineLevel="0" max="5" min="5" style="0" width="14.71"/>
    <col collapsed="false" customWidth="true" hidden="false" outlineLevel="0" max="6" min="6" style="0" width="25.29"/>
    <col collapsed="false" customWidth="true" hidden="false" outlineLevel="0" max="7" min="7" style="0" width="16.57"/>
    <col collapsed="false" customWidth="true" hidden="false" outlineLevel="0" max="8" min="8" style="0" width="12.72"/>
    <col collapsed="false" customWidth="true" hidden="false" outlineLevel="0" max="9" min="9" style="16" width="12.29"/>
    <col collapsed="false" customWidth="true" hidden="false" outlineLevel="0" max="10" min="10" style="0" width="13.29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8" t="s">
        <v>234</v>
      </c>
      <c r="J1" s="17" t="s">
        <v>11</v>
      </c>
      <c r="K1" s="17" t="s">
        <v>12</v>
      </c>
    </row>
    <row r="2" customFormat="false" ht="15" hidden="false" customHeight="false" outlineLevel="0" collapsed="false">
      <c r="A2" s="2" t="s">
        <v>235</v>
      </c>
      <c r="B2" s="3" t="str">
        <f aca="false">CONCATENATE("Диод шоттки на ", H2," В, ном. ток ", I2," А")</f>
        <v>Диод шоттки на 30 В, ном. ток 3 А А</v>
      </c>
      <c r="C2" s="2" t="str">
        <f aca="false">A2</f>
        <v>SK33</v>
      </c>
      <c r="D2" s="2" t="s">
        <v>236</v>
      </c>
      <c r="E2" s="2" t="s">
        <v>237</v>
      </c>
      <c r="F2" s="2" t="str">
        <f aca="false">CONCATENATE("Footprints\",G2,".PcbLib")</f>
        <v>Footprints\SMC.PcbLib</v>
      </c>
      <c r="G2" s="2" t="s">
        <v>238</v>
      </c>
      <c r="H2" s="19" t="n">
        <v>30</v>
      </c>
      <c r="I2" s="16" t="s">
        <v>239</v>
      </c>
      <c r="K2" s="3" t="s">
        <v>146</v>
      </c>
    </row>
    <row r="3" customFormat="false" ht="15" hidden="false" customHeight="false" outlineLevel="0" collapsed="false">
      <c r="A3" s="2" t="s">
        <v>240</v>
      </c>
      <c r="B3" s="3" t="str">
        <f aca="false">CONCATENATE("Диод шоттки на ", H3," В, ном. ток ", I3," А")</f>
        <v>Диод шоттки на 20 В, ном. ток 3 А А</v>
      </c>
      <c r="C3" s="2" t="str">
        <f aca="false">A3</f>
        <v>SK32</v>
      </c>
      <c r="D3" s="2" t="s">
        <v>236</v>
      </c>
      <c r="E3" s="2" t="s">
        <v>237</v>
      </c>
      <c r="F3" s="2" t="str">
        <f aca="false">CONCATENATE("Footprints\",G3,".PcbLib")</f>
        <v>Footprints\SMC.PcbLib</v>
      </c>
      <c r="G3" s="2" t="s">
        <v>238</v>
      </c>
      <c r="H3" s="20" t="s">
        <v>241</v>
      </c>
      <c r="I3" s="16" t="s">
        <v>239</v>
      </c>
      <c r="K3" s="3" t="s">
        <v>146</v>
      </c>
    </row>
    <row r="4" customFormat="false" ht="15" hidden="false" customHeight="false" outlineLevel="0" collapsed="false">
      <c r="A4" s="0" t="s">
        <v>242</v>
      </c>
      <c r="B4" s="0" t="str">
        <f aca="false">CONCATENATE("Диод шоттки на ", H4," В, ном. ток ", I4," А")</f>
        <v>Диод шоттки на 30 В, ном. ток 0,2 А А</v>
      </c>
      <c r="C4" s="0" t="str">
        <f aca="false">A4</f>
        <v>BAT54WS</v>
      </c>
      <c r="D4" s="2" t="s">
        <v>236</v>
      </c>
      <c r="E4" s="3" t="s">
        <v>237</v>
      </c>
      <c r="F4" s="3" t="str">
        <f aca="false">CONCATENATE("Footprints\",G4,".PcbLib")</f>
        <v>Footprints\SOD-323.PcbLib</v>
      </c>
      <c r="G4" s="3" t="s">
        <v>243</v>
      </c>
      <c r="H4" s="19" t="n">
        <v>30</v>
      </c>
      <c r="I4" s="16" t="s">
        <v>244</v>
      </c>
    </row>
    <row r="5" customFormat="false" ht="15" hidden="false" customHeight="false" outlineLevel="0" collapsed="false">
      <c r="A5" s="0" t="s">
        <v>245</v>
      </c>
      <c r="B5" s="0" t="str">
        <f aca="false">CONCATENATE("Диод шоттки на ", H5," В, ном. ток ", I5," А")</f>
        <v>Диод шоттки на 45 В, ном. ток 10 А А</v>
      </c>
      <c r="C5" s="0" t="str">
        <f aca="false">A5</f>
        <v>10S45SP</v>
      </c>
      <c r="D5" s="2" t="s">
        <v>236</v>
      </c>
      <c r="E5" s="3" t="s">
        <v>237</v>
      </c>
      <c r="F5" s="3" t="str">
        <f aca="false">CONCATENATE("Footprints\",G5,".PcbLib")</f>
        <v>Footprints\TO-277.PcbLib</v>
      </c>
      <c r="G5" s="3" t="s">
        <v>246</v>
      </c>
      <c r="H5" s="19" t="n">
        <v>45</v>
      </c>
      <c r="I5" s="16" t="s">
        <v>247</v>
      </c>
      <c r="K5" s="3" t="s">
        <v>35</v>
      </c>
    </row>
    <row r="6" customFormat="false" ht="15" hidden="false" customHeight="false" outlineLevel="0" collapsed="false">
      <c r="A6" s="0" t="s">
        <v>248</v>
      </c>
      <c r="B6" s="0" t="str">
        <f aca="false">CONCATENATE("Диод шоттки на ", H6," В, ном. ток ", I6," А")</f>
        <v>Диод шоттки на 100 В, ном. ток 8 А А</v>
      </c>
      <c r="C6" s="0" t="str">
        <f aca="false">A6</f>
        <v>SK810</v>
      </c>
      <c r="D6" s="2" t="s">
        <v>236</v>
      </c>
      <c r="E6" s="3" t="s">
        <v>237</v>
      </c>
      <c r="F6" s="3" t="str">
        <f aca="false">CONCATENATE("Footprints\",G6,".PcbLib")</f>
        <v>Footprints\SMC.PcbLib</v>
      </c>
      <c r="G6" s="3" t="s">
        <v>238</v>
      </c>
      <c r="H6" s="19" t="n">
        <v>100</v>
      </c>
      <c r="I6" s="16" t="s">
        <v>249</v>
      </c>
      <c r="K6" s="3" t="s">
        <v>35</v>
      </c>
    </row>
    <row r="7" customFormat="false" ht="15" hidden="false" customHeight="false" outlineLevel="0" collapsed="false">
      <c r="A7" s="0" t="s">
        <v>250</v>
      </c>
      <c r="B7" s="0" t="str">
        <f aca="false">CONCATENATE("Диод шоттки на ", H7," В, ном. ток ", I7," А")</f>
        <v>Диод шоттки на 40 В, ном. ток 2,1 А А</v>
      </c>
      <c r="C7" s="0" t="str">
        <f aca="false">A7</f>
        <v>15MQ040N</v>
      </c>
      <c r="D7" s="2" t="s">
        <v>236</v>
      </c>
      <c r="E7" s="3" t="s">
        <v>237</v>
      </c>
      <c r="F7" s="3" t="str">
        <f aca="false">CONCATENATE("Footprints\",G7,".PcbLib")</f>
        <v>Footprints\SMA.PcbLib</v>
      </c>
      <c r="G7" s="3" t="s">
        <v>251</v>
      </c>
      <c r="H7" s="19" t="n">
        <v>40</v>
      </c>
      <c r="I7" s="16" t="s">
        <v>252</v>
      </c>
    </row>
    <row r="8" customFormat="false" ht="15" hidden="false" customHeight="false" outlineLevel="0" collapsed="false">
      <c r="A8" s="0" t="s">
        <v>253</v>
      </c>
      <c r="B8" s="0" t="str">
        <f aca="false">CONCATENATE("Диод шоттки на ", H8," В, ном. ток ", I8," А")</f>
        <v>Диод шоттки на 70 В, ном. ток 0,7 А А</v>
      </c>
      <c r="C8" s="0" t="str">
        <f aca="false">A8</f>
        <v>BAS70-04-7-F</v>
      </c>
      <c r="D8" s="2" t="s">
        <v>254</v>
      </c>
      <c r="E8" s="3" t="s">
        <v>253</v>
      </c>
      <c r="F8" s="3" t="str">
        <f aca="false">CONCATENATE("Footprints\",G8,".PcbLib")</f>
        <v>Footprints\SOT23.PcbLib</v>
      </c>
      <c r="G8" s="3" t="s">
        <v>255</v>
      </c>
      <c r="H8" s="19" t="n">
        <v>70</v>
      </c>
      <c r="I8" s="16" t="s">
        <v>256</v>
      </c>
    </row>
    <row r="9" customFormat="false" ht="15" hidden="false" customHeight="false" outlineLevel="0" collapsed="false">
      <c r="A9" s="0" t="s">
        <v>257</v>
      </c>
      <c r="B9" s="0" t="str">
        <f aca="false">CONCATENATE("Диод шоттки на ", H9," В, ном. ток ", I9," А")</f>
        <v>Диод шоттки на 60 В, ном. ток 5 А А</v>
      </c>
      <c r="C9" s="0" t="str">
        <f aca="false">A9</f>
        <v>SK56</v>
      </c>
      <c r="D9" s="2" t="s">
        <v>236</v>
      </c>
      <c r="E9" s="3" t="s">
        <v>237</v>
      </c>
      <c r="F9" s="3" t="str">
        <f aca="false">CONCATENATE("Footprints\",G9,".PcbLib")</f>
        <v>Footprints\SMC.PcbLib</v>
      </c>
      <c r="G9" s="2" t="s">
        <v>238</v>
      </c>
      <c r="H9" s="19" t="n">
        <v>60</v>
      </c>
      <c r="I9" s="16" t="s">
        <v>258</v>
      </c>
      <c r="K9" s="3" t="s">
        <v>146</v>
      </c>
    </row>
    <row r="10" customFormat="false" ht="15" hidden="false" customHeight="false" outlineLevel="0" collapsed="false">
      <c r="A10" s="0" t="s">
        <v>259</v>
      </c>
      <c r="B10" s="0" t="str">
        <f aca="false">CONCATENATE("Диод шоттки на ", H10," В, ном. ток ", I10," А")</f>
        <v>Диод шоттки на 40 В, ном. ток 5 А А</v>
      </c>
      <c r="C10" s="0" t="str">
        <f aca="false">A10</f>
        <v>SK54</v>
      </c>
      <c r="D10" s="2" t="s">
        <v>236</v>
      </c>
      <c r="E10" s="3" t="s">
        <v>237</v>
      </c>
      <c r="F10" s="3" t="str">
        <f aca="false">CONCATENATE("Footprints\",G10,".PcbLib")</f>
        <v>Footprints\SMC.PcbLib</v>
      </c>
      <c r="G10" s="2" t="s">
        <v>238</v>
      </c>
      <c r="H10" s="19" t="n">
        <v>40</v>
      </c>
      <c r="I10" s="16" t="s">
        <v>258</v>
      </c>
      <c r="K10" s="3" t="s">
        <v>146</v>
      </c>
    </row>
    <row r="11" customFormat="false" ht="15" hidden="false" customHeight="false" outlineLevel="0" collapsed="false">
      <c r="A11" s="0" t="s">
        <v>260</v>
      </c>
      <c r="B11" s="0" t="str">
        <f aca="false">CONCATENATE("Диод шоттки на ", H11," В, ном. ток ", I11," А")</f>
        <v>Диод шоттки на 50 В, ном. ток 5 А А</v>
      </c>
      <c r="C11" s="0" t="str">
        <f aca="false">A11</f>
        <v>B550C</v>
      </c>
      <c r="D11" s="2" t="s">
        <v>236</v>
      </c>
      <c r="E11" s="3" t="s">
        <v>237</v>
      </c>
      <c r="F11" s="3" t="str">
        <f aca="false">CONCATENATE("Footprints\",G11,".PcbLib")</f>
        <v>Footprints\SMC.PcbLib</v>
      </c>
      <c r="G11" s="2" t="s">
        <v>238</v>
      </c>
      <c r="H11" s="19" t="n">
        <v>50</v>
      </c>
      <c r="I11" s="16" t="s">
        <v>258</v>
      </c>
    </row>
    <row r="12" customFormat="false" ht="15" hidden="false" customHeight="false" outlineLevel="0" collapsed="false">
      <c r="A12" s="0" t="s">
        <v>261</v>
      </c>
      <c r="B12" s="0" t="str">
        <f aca="false">CONCATENATE("Диод шоттки на ", H12," В, ном. ток ", I12," А")</f>
        <v>Диод шоттки на 100 В, ном. ток 2 А А</v>
      </c>
      <c r="C12" s="0" t="str">
        <f aca="false">A12</f>
        <v>20MQ100</v>
      </c>
      <c r="D12" s="0" t="s">
        <v>236</v>
      </c>
      <c r="E12" s="0" t="s">
        <v>237</v>
      </c>
      <c r="F12" s="0" t="str">
        <f aca="false">CONCATENATE("Footprints\",G12,".PcbLib")</f>
        <v>Footprints\SMA.PcbLib</v>
      </c>
      <c r="G12" s="0" t="s">
        <v>251</v>
      </c>
      <c r="H12" s="19" t="n">
        <v>100</v>
      </c>
      <c r="I12" s="16" t="s">
        <v>262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46" activeCellId="0" sqref="B46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3.71"/>
    <col collapsed="false" customWidth="true" hidden="false" outlineLevel="0" max="2" min="2" style="0" width="46.71"/>
    <col collapsed="false" customWidth="true" hidden="false" outlineLevel="0" max="3" min="3" style="0" width="11.43"/>
    <col collapsed="false" customWidth="true" hidden="false" outlineLevel="0" max="4" min="4" style="0" width="20.57"/>
    <col collapsed="false" customWidth="true" hidden="false" outlineLevel="0" max="5" min="5" style="0" width="12"/>
    <col collapsed="false" customWidth="true" hidden="false" outlineLevel="0" max="6" min="6" style="0" width="23.43"/>
    <col collapsed="false" customWidth="true" hidden="false" outlineLevel="0" max="7" min="7" style="0" width="15.72"/>
    <col collapsed="false" customWidth="true" hidden="false" outlineLevel="0" max="8" min="8" style="0" width="19.72"/>
    <col collapsed="false" customWidth="true" hidden="false" outlineLevel="0" max="9" min="9" style="0" width="21.57"/>
    <col collapsed="false" customWidth="true" hidden="false" outlineLevel="0" max="10" min="10" style="0" width="12"/>
    <col collapsed="false" customWidth="true" hidden="false" outlineLevel="0" max="11" min="11" style="0" width="7.72"/>
    <col collapsed="false" customWidth="true" hidden="false" outlineLevel="0" max="12" min="12" style="0" width="10.71"/>
    <col collapsed="false" customWidth="true" hidden="false" outlineLevel="0" max="13" min="13" style="0" width="15.28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234</v>
      </c>
      <c r="J1" s="17" t="s">
        <v>263</v>
      </c>
      <c r="K1" s="17" t="s">
        <v>264</v>
      </c>
      <c r="L1" s="17" t="s">
        <v>265</v>
      </c>
      <c r="M1" s="17" t="s">
        <v>11</v>
      </c>
      <c r="N1" s="17" t="s">
        <v>12</v>
      </c>
    </row>
    <row r="2" customFormat="false" ht="12.75" hidden="false" customHeight="true" outlineLevel="0" collapsed="false">
      <c r="A2" s="2" t="s">
        <v>266</v>
      </c>
      <c r="B2" s="2" t="s">
        <v>267</v>
      </c>
      <c r="C2" s="2" t="s">
        <v>266</v>
      </c>
      <c r="D2" s="2" t="s">
        <v>268</v>
      </c>
      <c r="E2" s="2" t="s">
        <v>269</v>
      </c>
      <c r="F2" s="2" t="s">
        <v>270</v>
      </c>
      <c r="G2" s="2" t="s">
        <v>243</v>
      </c>
      <c r="H2" s="2" t="s">
        <v>271</v>
      </c>
      <c r="I2" s="2" t="s">
        <v>272</v>
      </c>
      <c r="J2" s="2" t="s">
        <v>273</v>
      </c>
      <c r="K2" s="2" t="s">
        <v>274</v>
      </c>
      <c r="L2" s="21" t="n">
        <v>0.05</v>
      </c>
    </row>
    <row r="3" customFormat="false" ht="15" hidden="false" customHeight="false" outlineLevel="0" collapsed="false">
      <c r="A3" s="0" t="s">
        <v>275</v>
      </c>
      <c r="B3" s="2" t="s">
        <v>276</v>
      </c>
      <c r="C3" s="3" t="s">
        <v>275</v>
      </c>
      <c r="D3" s="2" t="s">
        <v>268</v>
      </c>
      <c r="E3" s="2" t="s">
        <v>269</v>
      </c>
      <c r="F3" s="2" t="s">
        <v>277</v>
      </c>
      <c r="G3" s="3" t="s">
        <v>278</v>
      </c>
      <c r="H3" s="2" t="s">
        <v>279</v>
      </c>
      <c r="I3" s="2" t="s">
        <v>272</v>
      </c>
      <c r="J3" s="2" t="s">
        <v>280</v>
      </c>
      <c r="K3" s="2" t="s">
        <v>281</v>
      </c>
      <c r="L3" s="21" t="n">
        <v>0.02</v>
      </c>
      <c r="N3" s="3" t="s">
        <v>35</v>
      </c>
    </row>
    <row r="4" customFormat="false" ht="15" hidden="false" customHeight="false" outlineLevel="0" collapsed="false">
      <c r="A4" s="0" t="s">
        <v>282</v>
      </c>
      <c r="B4" s="2" t="s">
        <v>283</v>
      </c>
      <c r="C4" s="3" t="s">
        <v>282</v>
      </c>
      <c r="D4" s="2" t="s">
        <v>284</v>
      </c>
      <c r="E4" s="3" t="s">
        <v>285</v>
      </c>
      <c r="F4" s="2" t="s">
        <v>286</v>
      </c>
      <c r="G4" s="3" t="s">
        <v>192</v>
      </c>
      <c r="H4" s="2" t="s">
        <v>287</v>
      </c>
      <c r="I4" s="2" t="s">
        <v>272</v>
      </c>
      <c r="J4" s="2" t="s">
        <v>288</v>
      </c>
      <c r="K4" s="2" t="s">
        <v>289</v>
      </c>
      <c r="L4" s="21" t="n">
        <v>0.02</v>
      </c>
      <c r="N4" s="3" t="s">
        <v>35</v>
      </c>
    </row>
    <row r="5" customFormat="false" ht="15" hidden="false" customHeight="false" outlineLevel="0" collapsed="false">
      <c r="A5" s="0" t="s">
        <v>290</v>
      </c>
      <c r="B5" s="0" t="s">
        <v>291</v>
      </c>
      <c r="C5" s="0" t="s">
        <v>290</v>
      </c>
      <c r="D5" s="2" t="s">
        <v>268</v>
      </c>
      <c r="E5" s="2" t="s">
        <v>269</v>
      </c>
      <c r="F5" s="2" t="s">
        <v>277</v>
      </c>
      <c r="G5" s="3" t="s">
        <v>278</v>
      </c>
      <c r="H5" s="2" t="s">
        <v>271</v>
      </c>
      <c r="I5" s="2" t="s">
        <v>272</v>
      </c>
      <c r="J5" s="2" t="s">
        <v>280</v>
      </c>
      <c r="K5" s="2" t="s">
        <v>274</v>
      </c>
      <c r="L5" s="21" t="n">
        <v>0.02</v>
      </c>
      <c r="N5" s="3" t="s">
        <v>35</v>
      </c>
    </row>
    <row r="6" customFormat="false" ht="15" hidden="false" customHeight="false" outlineLevel="0" collapsed="false">
      <c r="A6" s="0" t="s">
        <v>292</v>
      </c>
      <c r="B6" s="0" t="s">
        <v>293</v>
      </c>
      <c r="C6" s="0" t="s">
        <v>292</v>
      </c>
      <c r="D6" s="2" t="s">
        <v>268</v>
      </c>
      <c r="E6" s="2" t="s">
        <v>269</v>
      </c>
      <c r="F6" s="2" t="s">
        <v>277</v>
      </c>
      <c r="G6" s="3" t="s">
        <v>278</v>
      </c>
      <c r="H6" s="2" t="s">
        <v>294</v>
      </c>
      <c r="I6" s="2" t="s">
        <v>272</v>
      </c>
      <c r="J6" s="2" t="s">
        <v>280</v>
      </c>
      <c r="K6" s="2" t="s">
        <v>295</v>
      </c>
      <c r="L6" s="21" t="n">
        <v>0.02</v>
      </c>
      <c r="M6" s="3" t="s">
        <v>296</v>
      </c>
      <c r="N6" s="3" t="s">
        <v>35</v>
      </c>
    </row>
    <row r="7" customFormat="false" ht="15" hidden="false" customHeight="false" outlineLevel="0" collapsed="false">
      <c r="H7" s="2"/>
      <c r="I7" s="2"/>
      <c r="J7" s="2"/>
      <c r="K7" s="2"/>
    </row>
    <row r="8" customFormat="false" ht="15" hidden="false" customHeight="false" outlineLevel="0" collapsed="false">
      <c r="H8" s="2"/>
      <c r="I8" s="2"/>
      <c r="J8" s="2"/>
      <c r="K8" s="2"/>
    </row>
    <row r="9" customFormat="false" ht="15" hidden="false" customHeight="false" outlineLevel="0" collapsed="false">
      <c r="H9" s="2"/>
      <c r="I9" s="2"/>
      <c r="J9" s="2"/>
      <c r="K9" s="2"/>
    </row>
    <row r="10" customFormat="false" ht="15" hidden="false" customHeight="false" outlineLevel="0" collapsed="false">
      <c r="H10" s="2"/>
      <c r="I10" s="2"/>
      <c r="J10" s="2"/>
      <c r="K10" s="2"/>
    </row>
    <row r="11" customFormat="false" ht="15" hidden="false" customHeight="false" outlineLevel="0" collapsed="false">
      <c r="H11" s="2"/>
      <c r="I11" s="2"/>
      <c r="J11" s="2"/>
      <c r="K11" s="2"/>
    </row>
    <row r="12" customFormat="false" ht="15" hidden="false" customHeight="false" outlineLevel="0" collapsed="false">
      <c r="H12" s="2"/>
      <c r="I12" s="2"/>
      <c r="J12" s="2"/>
      <c r="K12" s="2"/>
    </row>
    <row r="13" customFormat="false" ht="15" hidden="false" customHeight="false" outlineLevel="0" collapsed="false">
      <c r="H13" s="2"/>
      <c r="I13" s="2"/>
      <c r="J13" s="2"/>
      <c r="K13" s="2"/>
    </row>
    <row r="14" customFormat="false" ht="15" hidden="false" customHeight="false" outlineLevel="0" collapsed="false">
      <c r="H14" s="2"/>
      <c r="I14" s="2"/>
      <c r="J14" s="2"/>
      <c r="K14" s="2"/>
    </row>
    <row r="15" customFormat="false" ht="15" hidden="false" customHeight="false" outlineLevel="0" collapsed="false">
      <c r="H15" s="2"/>
      <c r="I15" s="2"/>
      <c r="J15" s="2"/>
      <c r="K15" s="2"/>
    </row>
    <row r="16" customFormat="false" ht="15" hidden="false" customHeight="false" outlineLevel="0" collapsed="false">
      <c r="H16" s="2"/>
      <c r="I16" s="2"/>
      <c r="J16" s="2"/>
      <c r="K16" s="2"/>
    </row>
    <row r="17" customFormat="false" ht="15" hidden="false" customHeight="false" outlineLevel="0" collapsed="false">
      <c r="H17" s="2"/>
      <c r="I17" s="2"/>
      <c r="J17" s="2"/>
      <c r="K17" s="2"/>
    </row>
    <row r="18" customFormat="false" ht="15" hidden="false" customHeight="false" outlineLevel="0" collapsed="false">
      <c r="H18" s="2"/>
      <c r="I18" s="2"/>
      <c r="J18" s="2"/>
      <c r="K18" s="2"/>
    </row>
    <row r="19" customFormat="false" ht="15" hidden="false" customHeight="false" outlineLevel="0" collapsed="false">
      <c r="H19" s="2"/>
      <c r="I19" s="2"/>
      <c r="J19" s="2"/>
      <c r="K19" s="2"/>
    </row>
    <row r="20" customFormat="false" ht="15" hidden="false" customHeight="false" outlineLevel="0" collapsed="false">
      <c r="H20" s="2"/>
      <c r="I20" s="2"/>
      <c r="J20" s="2"/>
      <c r="K20" s="2"/>
    </row>
    <row r="21" customFormat="false" ht="15" hidden="false" customHeight="false" outlineLevel="0" collapsed="false">
      <c r="H21" s="2"/>
      <c r="I21" s="2"/>
      <c r="J21" s="2"/>
      <c r="K21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5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E18" activeCellId="0" sqref="E18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0.43"/>
    <col collapsed="false" customWidth="true" hidden="false" outlineLevel="0" max="2" min="2" style="0" width="53.71"/>
    <col collapsed="false" customWidth="true" hidden="false" outlineLevel="0" max="3" min="3" style="0" width="15.72"/>
    <col collapsed="false" customWidth="true" hidden="false" outlineLevel="0" max="4" min="4" style="0" width="26.43"/>
    <col collapsed="false" customWidth="true" hidden="false" outlineLevel="0" max="5" min="5" style="0" width="11.72"/>
    <col collapsed="false" customWidth="true" hidden="false" outlineLevel="0" max="6" min="6" style="0" width="16.43"/>
    <col collapsed="false" customWidth="true" hidden="false" outlineLevel="0" max="7" min="7" style="0" width="15.43"/>
    <col collapsed="false" customWidth="true" hidden="false" outlineLevel="0" max="8" min="8" style="0" width="12.57"/>
    <col collapsed="false" customWidth="true" hidden="false" outlineLevel="0" max="9" min="9" style="0" width="11.72"/>
    <col collapsed="false" customWidth="true" hidden="false" outlineLevel="0" max="10" min="10" style="0" width="8"/>
    <col collapsed="false" customWidth="true" hidden="false" outlineLevel="0" max="11" min="11" style="0" width="10.43"/>
    <col collapsed="false" customWidth="true" hidden="false" outlineLevel="0" max="12" min="12" style="0" width="13.29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263</v>
      </c>
      <c r="J1" s="17" t="s">
        <v>264</v>
      </c>
      <c r="K1" s="17" t="s">
        <v>297</v>
      </c>
      <c r="L1" s="17" t="s">
        <v>11</v>
      </c>
      <c r="M1" s="17" t="s">
        <v>12</v>
      </c>
    </row>
    <row r="2" customFormat="false" ht="15" hidden="false" customHeight="false" outlineLevel="0" collapsed="false">
      <c r="A2" s="0" t="s">
        <v>298</v>
      </c>
      <c r="B2" s="0" t="str">
        <f aca="false">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0" t="str">
        <f aca="false">A2</f>
        <v>SMBJ24A</v>
      </c>
      <c r="D2" s="0" t="str">
        <f aca="false">CONCATENATE("Schematic\TVS\",E2,".SchLib")</f>
        <v>Schematic\TVS\TVS_1_1dir.SchLib</v>
      </c>
      <c r="E2" s="0" t="s">
        <v>299</v>
      </c>
      <c r="F2" s="0" t="str">
        <f aca="false">CONCATENATE("Footprints\",G2,".PcbLib")</f>
        <v>Footprints\SMB.PcbLib</v>
      </c>
      <c r="G2" s="0" t="s">
        <v>300</v>
      </c>
      <c r="H2" s="0" t="n">
        <v>24</v>
      </c>
      <c r="I2" s="0" t="n">
        <v>600</v>
      </c>
      <c r="J2" s="0" t="str">
        <f aca="false">CONCATENATE(H2," В")</f>
        <v>24 В</v>
      </c>
    </row>
    <row r="3" customFormat="false" ht="15" hidden="false" customHeight="false" outlineLevel="0" collapsed="false">
      <c r="A3" s="0" t="s">
        <v>301</v>
      </c>
      <c r="B3" s="0" t="str">
        <f aca="false">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0" t="str">
        <f aca="false">A3</f>
        <v>PSM712</v>
      </c>
      <c r="D3" s="0" t="str">
        <f aca="false">CONCATENATE("Schematic\TVS\",E3,".SchLib")</f>
        <v>Schematic\TVS\TVS_2_2dir.SchLib</v>
      </c>
      <c r="E3" s="0" t="s">
        <v>302</v>
      </c>
      <c r="F3" s="0" t="str">
        <f aca="false">CONCATENATE("Footprints\",G3,".PcbLib")</f>
        <v>Footprints\SOT23-3.PcbLib</v>
      </c>
      <c r="G3" s="0" t="s">
        <v>192</v>
      </c>
      <c r="K3" s="0" t="s">
        <v>303</v>
      </c>
    </row>
    <row r="4" customFormat="false" ht="15" hidden="false" customHeight="false" outlineLevel="0" collapsed="false">
      <c r="A4" s="0" t="s">
        <v>304</v>
      </c>
      <c r="B4" s="0" t="str">
        <f aca="false">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s="0" t="str">
        <f aca="false">A4</f>
        <v>SMAJ12CA</v>
      </c>
      <c r="D4" s="0" t="str">
        <f aca="false">CONCATENATE("Schematic\TVS\",E4,".SchLib")</f>
        <v>Schematic\TVS\TVS_1_2dir.SchLib</v>
      </c>
      <c r="E4" s="0" t="s">
        <v>305</v>
      </c>
      <c r="F4" s="0" t="str">
        <f aca="false">CONCATENATE("Footprints\",G4,".PcbLib")</f>
        <v>Footprints\SMA.PcbLib</v>
      </c>
      <c r="G4" s="0" t="s">
        <v>251</v>
      </c>
      <c r="H4" s="0" t="n">
        <v>12</v>
      </c>
      <c r="I4" s="0" t="n">
        <v>400</v>
      </c>
      <c r="J4" s="0" t="str">
        <f aca="false">CONCATENATE(H4," В")</f>
        <v>12 В</v>
      </c>
    </row>
    <row r="5" customFormat="false" ht="15" hidden="false" customHeight="false" outlineLevel="0" collapsed="false">
      <c r="A5" s="0" t="s">
        <v>306</v>
      </c>
      <c r="B5" s="0" t="str">
        <f aca="false">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0" t="str">
        <f aca="false">A5</f>
        <v>SMBJ18A</v>
      </c>
      <c r="D5" s="0" t="str">
        <f aca="false">CONCATENATE("Schematic\TVS\",E5,".SchLib")</f>
        <v>Schematic\TVS\TVS_1_1dir.SchLib</v>
      </c>
      <c r="E5" s="0" t="s">
        <v>299</v>
      </c>
      <c r="F5" s="0" t="str">
        <f aca="false">CONCATENATE("Footprints\",G5,".PcbLib")</f>
        <v>Footprints\SMB.PcbLib</v>
      </c>
      <c r="G5" s="0" t="s">
        <v>300</v>
      </c>
      <c r="H5" s="0" t="n">
        <v>18</v>
      </c>
      <c r="I5" s="0" t="n">
        <v>600</v>
      </c>
      <c r="J5" s="0" t="str">
        <f aca="false">CONCATENATE(H5," В")</f>
        <v>18 В</v>
      </c>
    </row>
    <row r="6" customFormat="false" ht="15" hidden="false" customHeight="false" outlineLevel="0" collapsed="false">
      <c r="A6" s="0" t="s">
        <v>307</v>
      </c>
      <c r="B6" s="0" t="str">
        <f aca="false">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s="0" t="str">
        <f aca="false">A6</f>
        <v>PESD5V0S1UB</v>
      </c>
      <c r="D6" s="0" t="str">
        <f aca="false">CONCATENATE("Schematic\TVS\",E6,".SchLib")</f>
        <v>Schematic\TVS\TVS_1_1dir.SchLib</v>
      </c>
      <c r="E6" s="0" t="s">
        <v>299</v>
      </c>
      <c r="F6" s="0" t="str">
        <f aca="false">CONCATENATE("Footprints\",G6,".PcbLib")</f>
        <v>Footprints\SOD523.PcbLib</v>
      </c>
      <c r="G6" s="0" t="s">
        <v>308</v>
      </c>
      <c r="H6" s="0" t="n">
        <v>5</v>
      </c>
      <c r="I6" s="0" t="n">
        <v>330</v>
      </c>
      <c r="J6" s="0" t="str">
        <f aca="false">CONCATENATE(H6," В")</f>
        <v>5 В</v>
      </c>
    </row>
    <row r="7" customFormat="false" ht="15" hidden="false" customHeight="false" outlineLevel="0" collapsed="false">
      <c r="A7" s="0" t="s">
        <v>309</v>
      </c>
      <c r="B7" s="0" t="str">
        <f aca="false">IF(K7="RS-485","Защитный диод для линии RS-485",CONCATENATE("Защитный диод на ", H7," В, рассеиваемая мощность ", I7," Вт"))</f>
        <v>Защитный диод на 15 В, рассеиваемая мощность 600 Вт</v>
      </c>
      <c r="C7" s="0" t="str">
        <f aca="false">A7</f>
        <v>SMBJ15A</v>
      </c>
      <c r="D7" s="0" t="str">
        <f aca="false">CONCATENATE("Schematic\TVS\",E7,".SchLib")</f>
        <v>Schematic\TVS\TVS_1_1dir.SchLib</v>
      </c>
      <c r="E7" s="0" t="s">
        <v>299</v>
      </c>
      <c r="F7" s="0" t="str">
        <f aca="false">CONCATENATE("Footprints\",G7,".PcbLib")</f>
        <v>Footprints\SMB.PcbLib</v>
      </c>
      <c r="G7" s="0" t="s">
        <v>300</v>
      </c>
      <c r="H7" s="0" t="n">
        <v>15</v>
      </c>
      <c r="I7" s="0" t="n">
        <v>600</v>
      </c>
      <c r="J7" s="0" t="str">
        <f aca="false">CONCATENATE(H7," В")</f>
        <v>15 В</v>
      </c>
    </row>
    <row r="8" customFormat="false" ht="15" hidden="false" customHeight="false" outlineLevel="0" collapsed="false">
      <c r="A8" s="0" t="s">
        <v>310</v>
      </c>
      <c r="B8" s="0" t="str">
        <f aca="false">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0" t="str">
        <f aca="false">A8</f>
        <v>SMBJ13A-TR</v>
      </c>
      <c r="D8" s="0" t="str">
        <f aca="false">CONCATENATE("Schematic\TVS\",E8,".SchLib")</f>
        <v>Schematic\TVS\TVS_1_1dir.SchLib</v>
      </c>
      <c r="E8" s="0" t="s">
        <v>299</v>
      </c>
      <c r="F8" s="0" t="str">
        <f aca="false">CONCATENATE("Footprints\",G8,".PcbLib")</f>
        <v>Footprints\SMB.PcbLib</v>
      </c>
      <c r="G8" s="0" t="s">
        <v>300</v>
      </c>
      <c r="H8" s="0" t="n">
        <v>13</v>
      </c>
      <c r="I8" s="0" t="n">
        <v>600</v>
      </c>
      <c r="J8" s="0" t="str">
        <f aca="false">CONCATENATE(H8," В")</f>
        <v>13 В</v>
      </c>
    </row>
    <row r="9" customFormat="false" ht="15" hidden="false" customHeight="false" outlineLevel="0" collapsed="false">
      <c r="A9" s="0" t="s">
        <v>311</v>
      </c>
      <c r="B9" s="0" t="str">
        <f aca="false">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0" t="str">
        <f aca="false">A9</f>
        <v>SM15T33A</v>
      </c>
      <c r="D9" s="0" t="str">
        <f aca="false">CONCATENATE("Schematic\TVS\",E9,".SchLib")</f>
        <v>Schematic\TVS\TVS_1_1dir.SchLib</v>
      </c>
      <c r="E9" s="0" t="s">
        <v>299</v>
      </c>
      <c r="F9" s="0" t="str">
        <f aca="false">CONCATENATE("Footprints\",G9,".PcbLib")</f>
        <v>Footprints\SMC.PcbLib</v>
      </c>
      <c r="G9" s="0" t="s">
        <v>238</v>
      </c>
      <c r="H9" s="0" t="n">
        <v>30</v>
      </c>
      <c r="I9" s="0" t="n">
        <v>1500</v>
      </c>
      <c r="J9" s="0" t="str">
        <f aca="false">CONCATENATE(H9," В")</f>
        <v>30 В</v>
      </c>
    </row>
    <row r="10" customFormat="false" ht="15" hidden="false" customHeight="false" outlineLevel="0" collapsed="false">
      <c r="A10" s="0" t="s">
        <v>312</v>
      </c>
      <c r="B10" s="0" t="s">
        <v>313</v>
      </c>
      <c r="C10" s="0" t="str">
        <f aca="false">A10</f>
        <v>SMBJ16CA</v>
      </c>
      <c r="D10" s="0" t="str">
        <f aca="false">CONCATENATE("Schematic\TVS\",E10,".SchLib")</f>
        <v>Schematic\TVS\TVS_1_2dir.SchLib</v>
      </c>
      <c r="E10" s="0" t="s">
        <v>305</v>
      </c>
      <c r="F10" s="0" t="str">
        <f aca="false">CONCATENATE("Footprints\",G10,".PcbLib")</f>
        <v>Footprints\SMB.PcbLib</v>
      </c>
      <c r="G10" s="0" t="s">
        <v>300</v>
      </c>
      <c r="H10" s="0" t="n">
        <v>16</v>
      </c>
      <c r="I10" s="0" t="n">
        <v>600</v>
      </c>
      <c r="J10" s="0" t="str">
        <f aca="false">CONCATENATE(H10," В")</f>
        <v>16 В</v>
      </c>
    </row>
    <row r="11" customFormat="false" ht="15" hidden="false" customHeight="false" outlineLevel="0" collapsed="false">
      <c r="A11" s="0" t="s">
        <v>314</v>
      </c>
      <c r="B11" s="0" t="str">
        <f aca="false">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0" t="str">
        <f aca="false">A11</f>
        <v>PESD3V3L1UB</v>
      </c>
      <c r="D11" s="0" t="str">
        <f aca="false">CONCATENATE("Schematic\TVS\",E11,".SchLib")</f>
        <v>Schematic\TVS\TVS_1_1dir.SchLib</v>
      </c>
      <c r="E11" s="0" t="s">
        <v>299</v>
      </c>
      <c r="F11" s="0" t="str">
        <f aca="false">CONCATENATE("Footprints\",G11,".PcbLib")</f>
        <v>Footprints\SOD523.PcbLib</v>
      </c>
      <c r="G11" s="0" t="s">
        <v>308</v>
      </c>
      <c r="H11" s="0" t="n">
        <v>3.3</v>
      </c>
      <c r="I11" s="0" t="n">
        <v>45</v>
      </c>
      <c r="J11" s="0" t="str">
        <f aca="false">CONCATENATE(H11," В")</f>
        <v>3,3 В</v>
      </c>
      <c r="M11" s="0" t="s">
        <v>146</v>
      </c>
    </row>
    <row r="12" customFormat="false" ht="15" hidden="false" customHeight="false" outlineLevel="0" collapsed="false">
      <c r="A12" s="0" t="s">
        <v>315</v>
      </c>
      <c r="B12" s="0" t="str">
        <f aca="false">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0" t="str">
        <f aca="false">A12</f>
        <v>SMBJ16A</v>
      </c>
      <c r="D12" s="0" t="str">
        <f aca="false">CONCATENATE("Schematic\TVS\",E12,".SchLib")</f>
        <v>Schematic\TVS\TVS_1_1dir.SchLib</v>
      </c>
      <c r="E12" s="0" t="s">
        <v>299</v>
      </c>
      <c r="F12" s="0" t="str">
        <f aca="false">CONCATENATE("Footprints\",G12,".PcbLib")</f>
        <v>Footprints\SMB.PcbLib</v>
      </c>
      <c r="G12" s="0" t="s">
        <v>300</v>
      </c>
      <c r="H12" s="0" t="n">
        <v>16</v>
      </c>
      <c r="I12" s="0" t="n">
        <v>600</v>
      </c>
      <c r="J12" s="0" t="str">
        <f aca="false">CONCATENATE(H12," В")</f>
        <v>16 В</v>
      </c>
      <c r="M12" s="0" t="s">
        <v>146</v>
      </c>
    </row>
    <row r="13" customFormat="false" ht="15" hidden="false" customHeight="false" outlineLevel="0" collapsed="false">
      <c r="A13" s="0" t="s">
        <v>316</v>
      </c>
      <c r="B13" s="0" t="str">
        <f aca="false">IF(K13="RS-485","Защитный диод для линии RS-485",CONCATENATE("Защитный диод на ", H13," В, рассеиваемая мощность ", I13," Вт"))</f>
        <v>Защитный диод на 12 В, рассеиваемая мощность 400 Вт</v>
      </c>
      <c r="C13" s="0" t="str">
        <f aca="false">A13</f>
        <v>SMAJ12A</v>
      </c>
      <c r="D13" s="0" t="str">
        <f aca="false">CONCATENATE("Schematic\TVS\",E13,".SchLib")</f>
        <v>Schematic\TVS\TVS_1_1dir.SchLib</v>
      </c>
      <c r="E13" s="0" t="s">
        <v>299</v>
      </c>
      <c r="F13" s="0" t="str">
        <f aca="false">CONCATENATE("Footprints\",G13,".PcbLib")</f>
        <v>Footprints\SMA.PcbLib</v>
      </c>
      <c r="G13" s="0" t="s">
        <v>251</v>
      </c>
      <c r="H13" s="0" t="n">
        <v>12</v>
      </c>
      <c r="I13" s="0" t="n">
        <v>400</v>
      </c>
      <c r="J13" s="0" t="str">
        <f aca="false">CONCATENATE(H13," В")</f>
        <v>12 В</v>
      </c>
      <c r="M13" s="0" t="s">
        <v>35</v>
      </c>
    </row>
    <row r="14" customFormat="false" ht="16.4" hidden="false" customHeight="false" outlineLevel="0" collapsed="false">
      <c r="A14" s="0" t="s">
        <v>317</v>
      </c>
      <c r="B14" s="0" t="str">
        <f aca="false">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s="0" t="str">
        <f aca="false">A14</f>
        <v>PESD1CAN,215</v>
      </c>
      <c r="D14" s="0" t="str">
        <f aca="false">CONCATENATE("Schematic\TVS\",E14,".SchLib")</f>
        <v>Schematic\TVS\TVS_2_2dir.SchLib</v>
      </c>
      <c r="E14" s="0" t="s">
        <v>302</v>
      </c>
      <c r="F14" s="0" t="str">
        <f aca="false">CONCATENATE("Footprints\",G14,".PcbLib")</f>
        <v>Footprints\SOT23-3.PcbLib</v>
      </c>
      <c r="G14" s="0" t="s">
        <v>192</v>
      </c>
      <c r="J14" s="0" t="str">
        <f aca="false">CONCATENATE(H14," В")</f>
        <v> В</v>
      </c>
      <c r="K14" s="0" t="s">
        <v>318</v>
      </c>
      <c r="L14" s="11" t="s">
        <v>319</v>
      </c>
      <c r="M14" s="3" t="s">
        <v>146</v>
      </c>
    </row>
    <row r="15" customFormat="false" ht="15" hidden="false" customHeight="false" outlineLevel="0" collapsed="false">
      <c r="A15" s="0" t="s">
        <v>320</v>
      </c>
      <c r="B15" s="0" t="str">
        <f aca="false">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0" t="str">
        <f aca="false">A15</f>
        <v>SMAJ5.0A-TR</v>
      </c>
      <c r="D15" s="0" t="str">
        <f aca="false">CONCATENATE("Schematic\TVS\",E15,".SchLib")</f>
        <v>Schematic\TVS\TVS_1_1dir.SchLib</v>
      </c>
      <c r="E15" s="0" t="s">
        <v>299</v>
      </c>
      <c r="F15" s="0" t="str">
        <f aca="false">CONCATENATE("Footprints\",G15,".PcbLib")</f>
        <v>Footprints\SMA.PcbLib</v>
      </c>
      <c r="G15" s="0" t="s">
        <v>251</v>
      </c>
      <c r="H15" s="0" t="n">
        <v>5</v>
      </c>
      <c r="I15" s="0" t="n">
        <v>400</v>
      </c>
      <c r="J15" s="0" t="str">
        <f aca="false">CONCATENATE(H15," В")</f>
        <v>5 В</v>
      </c>
      <c r="L15" s="0" t="s">
        <v>321</v>
      </c>
      <c r="M15" s="0" t="s">
        <v>217</v>
      </c>
    </row>
  </sheetData>
  <hyperlinks>
    <hyperlink ref="L14" r:id="rId1" display="https://static.chipdip.ru/lib/583/DOC00158304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1" colorId="64" zoomScale="119" zoomScaleNormal="119" zoomScalePageLayoutView="100" workbookViewId="0">
      <selection pane="topLeft" activeCell="L21" activeCellId="0" sqref="L2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.71"/>
    <col collapsed="false" customWidth="true" hidden="false" outlineLevel="0" max="2" min="2" style="0" width="93.29"/>
    <col collapsed="false" customWidth="true" hidden="false" outlineLevel="0" max="3" min="3" style="0" width="12.43"/>
    <col collapsed="false" customWidth="true" hidden="false" outlineLevel="0" max="4" min="4" style="0" width="35.72"/>
    <col collapsed="false" customWidth="true" hidden="false" outlineLevel="0" max="5" min="5" style="0" width="24.43"/>
    <col collapsed="false" customWidth="true" hidden="false" outlineLevel="0" max="6" min="6" style="0" width="23.28"/>
    <col collapsed="false" customWidth="true" hidden="false" outlineLevel="0" max="7" min="7" style="0" width="16.72"/>
    <col collapsed="false" customWidth="true" hidden="false" outlineLevel="0" max="8" min="8" style="0" width="29.71"/>
    <col collapsed="false" customWidth="true" hidden="false" outlineLevel="0" max="9" min="9" style="0" width="16.72"/>
    <col collapsed="false" customWidth="true" hidden="false" outlineLevel="0" max="12" min="12" style="0" width="13.7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233</v>
      </c>
      <c r="K1" s="1" t="s">
        <v>322</v>
      </c>
      <c r="L1" s="1" t="s">
        <v>11</v>
      </c>
      <c r="M1" s="1" t="s">
        <v>12</v>
      </c>
      <c r="N1" s="1"/>
      <c r="O1" s="1"/>
      <c r="P1" s="1"/>
      <c r="Q1" s="1"/>
      <c r="R1" s="1"/>
      <c r="S1" s="1"/>
    </row>
    <row r="2" customFormat="false" ht="15" hidden="false" customHeight="false" outlineLevel="0" collapsed="false">
      <c r="A2" s="22" t="s">
        <v>323</v>
      </c>
      <c r="B2" s="22" t="s">
        <v>324</v>
      </c>
      <c r="C2" s="2" t="str">
        <f aca="false">A2</f>
        <v>50N06</v>
      </c>
      <c r="D2" s="22" t="s">
        <v>325</v>
      </c>
      <c r="E2" s="22" t="s">
        <v>326</v>
      </c>
      <c r="F2" s="2" t="str">
        <f aca="false">CONCATENATE("Footprints\",G2,".PcbLib")</f>
        <v>Footprints\DPAK.PcbLib</v>
      </c>
      <c r="G2" s="22" t="s">
        <v>327</v>
      </c>
      <c r="H2" s="2" t="str">
        <f aca="false">CONCATENATE("Footprints\",I2,".PcbLib")</f>
        <v>Footprints\DPAK_termopad.PcbLib</v>
      </c>
      <c r="I2" s="2" t="s">
        <v>328</v>
      </c>
      <c r="J2" s="3" t="s">
        <v>329</v>
      </c>
      <c r="K2" s="3" t="s">
        <v>330</v>
      </c>
    </row>
    <row r="3" customFormat="false" ht="15" hidden="false" customHeight="false" outlineLevel="0" collapsed="false">
      <c r="A3" s="22" t="s">
        <v>331</v>
      </c>
      <c r="B3" s="22" t="s">
        <v>324</v>
      </c>
      <c r="C3" s="2" t="str">
        <f aca="false">A3</f>
        <v>100N03A</v>
      </c>
      <c r="D3" s="22" t="s">
        <v>325</v>
      </c>
      <c r="E3" s="22" t="s">
        <v>326</v>
      </c>
      <c r="F3" s="2" t="str">
        <f aca="false">CONCATENATE("Footprints\",G3,".PcbLib")</f>
        <v>Footprints\DPAK.PcbLib</v>
      </c>
      <c r="G3" s="22" t="s">
        <v>327</v>
      </c>
      <c r="H3" s="2" t="str">
        <f aca="false">CONCATENATE("Footprints\",I3,".PcbLib")</f>
        <v>Footprints\DPAK_termopad.PcbLib</v>
      </c>
      <c r="I3" s="2" t="s">
        <v>328</v>
      </c>
      <c r="J3" s="3" t="s">
        <v>332</v>
      </c>
      <c r="K3" s="3" t="s">
        <v>333</v>
      </c>
    </row>
    <row r="4" customFormat="false" ht="15" hidden="false" customHeight="false" outlineLevel="0" collapsed="false">
      <c r="A4" s="22" t="s">
        <v>334</v>
      </c>
      <c r="B4" s="22" t="s">
        <v>324</v>
      </c>
      <c r="C4" s="2" t="str">
        <f aca="false">A4</f>
        <v>AO3400A</v>
      </c>
      <c r="D4" s="22" t="s">
        <v>325</v>
      </c>
      <c r="E4" s="22" t="s">
        <v>335</v>
      </c>
      <c r="F4" s="2" t="str">
        <f aca="false">CONCATENATE("Footprints\",G4,".PcbLib")</f>
        <v>Footprints\SOT23-3.PcbLib</v>
      </c>
      <c r="G4" s="22" t="s">
        <v>192</v>
      </c>
      <c r="H4" s="22"/>
      <c r="I4" s="2"/>
    </row>
    <row r="5" customFormat="false" ht="15" hidden="false" customHeight="false" outlineLevel="0" collapsed="false">
      <c r="A5" s="22" t="s">
        <v>336</v>
      </c>
      <c r="B5" s="22" t="s">
        <v>337</v>
      </c>
      <c r="C5" s="2" t="str">
        <f aca="false">A5</f>
        <v>AO3401A</v>
      </c>
      <c r="D5" s="22" t="s">
        <v>338</v>
      </c>
      <c r="E5" s="22" t="s">
        <v>339</v>
      </c>
      <c r="F5" s="2" t="str">
        <f aca="false">CONCATENATE("Footprints\",G5,".PcbLib")</f>
        <v>Footprints\SOT23-3.PcbLib</v>
      </c>
      <c r="G5" s="22" t="s">
        <v>192</v>
      </c>
      <c r="H5" s="2"/>
      <c r="I5" s="2"/>
    </row>
    <row r="6" customFormat="false" ht="15" hidden="false" customHeight="false" outlineLevel="0" collapsed="false">
      <c r="A6" s="22" t="s">
        <v>340</v>
      </c>
      <c r="B6" s="22" t="s">
        <v>337</v>
      </c>
      <c r="C6" s="2" t="str">
        <f aca="false">A6</f>
        <v>SUD50P06-15</v>
      </c>
      <c r="D6" s="22" t="s">
        <v>338</v>
      </c>
      <c r="E6" s="22" t="s">
        <v>341</v>
      </c>
      <c r="F6" s="2" t="str">
        <f aca="false">CONCATENATE("Footprints\",G6,".PcbLib")</f>
        <v>Footprints\DPAK.PcbLib</v>
      </c>
      <c r="G6" s="22" t="s">
        <v>327</v>
      </c>
      <c r="H6" s="2" t="str">
        <f aca="false">CONCATENATE("Footprints\",I6,".PcbLib")</f>
        <v>Footprints\DPAK_termopad.PcbLib</v>
      </c>
      <c r="I6" s="2" t="s">
        <v>328</v>
      </c>
    </row>
    <row r="7" customFormat="false" ht="15" hidden="false" customHeight="false" outlineLevel="0" collapsed="false">
      <c r="A7" s="1" t="s">
        <v>342</v>
      </c>
      <c r="B7" s="22" t="s">
        <v>337</v>
      </c>
      <c r="C7" s="2" t="str">
        <f aca="false">A7</f>
        <v>AO4411</v>
      </c>
      <c r="D7" s="22" t="s">
        <v>343</v>
      </c>
      <c r="E7" s="22" t="s">
        <v>344</v>
      </c>
      <c r="F7" s="3" t="str">
        <f aca="false">CONCATENATE("Footprints\",G7,".PcbLib")</f>
        <v>Footprints\SOIC-8.PcbLib</v>
      </c>
      <c r="G7" s="1" t="s">
        <v>21</v>
      </c>
      <c r="H7" s="2"/>
      <c r="M7" s="3" t="s">
        <v>146</v>
      </c>
    </row>
    <row r="8" customFormat="false" ht="15" hidden="false" customHeight="false" outlineLevel="0" collapsed="false">
      <c r="A8" s="1" t="s">
        <v>345</v>
      </c>
      <c r="B8" s="1" t="s">
        <v>346</v>
      </c>
      <c r="C8" s="2" t="str">
        <f aca="false">A8</f>
        <v>AO4812</v>
      </c>
      <c r="D8" s="22" t="s">
        <v>347</v>
      </c>
      <c r="E8" s="1" t="s">
        <v>345</v>
      </c>
      <c r="F8" s="3" t="str">
        <f aca="false">CONCATENATE("Footprints\",G8,".PcbLib")</f>
        <v>Footprints\SOP8.PcbLib</v>
      </c>
      <c r="G8" s="1" t="s">
        <v>69</v>
      </c>
      <c r="J8" s="3" t="s">
        <v>332</v>
      </c>
      <c r="K8" s="3" t="s">
        <v>348</v>
      </c>
      <c r="M8" s="3" t="s">
        <v>35</v>
      </c>
    </row>
    <row r="9" customFormat="false" ht="15" hidden="false" customHeight="false" outlineLevel="0" collapsed="false">
      <c r="A9" s="1" t="s">
        <v>349</v>
      </c>
      <c r="B9" s="1" t="s">
        <v>350</v>
      </c>
      <c r="C9" s="2" t="str">
        <f aca="false">A9</f>
        <v>bc807</v>
      </c>
      <c r="D9" s="22" t="s">
        <v>351</v>
      </c>
      <c r="E9" s="1" t="s">
        <v>352</v>
      </c>
      <c r="F9" s="3" t="str">
        <f aca="false">CONCATENATE("Footprints\",G9,".PcbLib")</f>
        <v>Footprints\SOT23-3.PcbLib</v>
      </c>
      <c r="G9" s="22" t="s">
        <v>192</v>
      </c>
      <c r="J9" s="3" t="s">
        <v>353</v>
      </c>
      <c r="K9" s="3" t="s">
        <v>354</v>
      </c>
      <c r="M9" s="3" t="s">
        <v>35</v>
      </c>
    </row>
    <row r="10" customFormat="false" ht="15" hidden="false" customHeight="false" outlineLevel="0" collapsed="false">
      <c r="A10" s="1" t="s">
        <v>355</v>
      </c>
      <c r="B10" s="1" t="s">
        <v>356</v>
      </c>
      <c r="C10" s="2" t="str">
        <f aca="false">A10</f>
        <v>AUIRF1405ZSTRL</v>
      </c>
      <c r="D10" s="22" t="s">
        <v>325</v>
      </c>
      <c r="E10" s="22" t="s">
        <v>326</v>
      </c>
      <c r="F10" s="2" t="str">
        <f aca="false">CONCATENATE("Footprints\",G10,".PcbLib")</f>
        <v>Footprints\D2PAK.PcbLib</v>
      </c>
      <c r="G10" s="22" t="s">
        <v>357</v>
      </c>
      <c r="H10" s="2"/>
      <c r="I10" s="2"/>
      <c r="J10" s="3" t="s">
        <v>358</v>
      </c>
      <c r="K10" s="3" t="s">
        <v>359</v>
      </c>
      <c r="M10" s="3" t="s">
        <v>35</v>
      </c>
    </row>
    <row r="11" customFormat="false" ht="15" hidden="false" customHeight="false" outlineLevel="0" collapsed="false">
      <c r="A11" s="1" t="s">
        <v>360</v>
      </c>
      <c r="B11" s="1" t="s">
        <v>361</v>
      </c>
      <c r="C11" s="2" t="str">
        <f aca="false">A11</f>
        <v>SIR426DP-T1-GE3</v>
      </c>
      <c r="D11" s="22" t="s">
        <v>362</v>
      </c>
      <c r="E11" s="1" t="s">
        <v>360</v>
      </c>
      <c r="F11" s="3" t="str">
        <f aca="false">CONCATENATE("Footprints\",G11,".PcbLib")</f>
        <v>Footprints\PowerPAK_SO-8.PcbLib</v>
      </c>
      <c r="G11" s="1" t="s">
        <v>363</v>
      </c>
      <c r="J11" s="3" t="s">
        <v>364</v>
      </c>
    </row>
    <row r="12" customFormat="false" ht="15" hidden="false" customHeight="false" outlineLevel="0" collapsed="false">
      <c r="A12" s="23" t="s">
        <v>365</v>
      </c>
      <c r="B12" s="1" t="s">
        <v>366</v>
      </c>
      <c r="C12" s="2" t="str">
        <f aca="false">A12</f>
        <v>PDTC114ET</v>
      </c>
      <c r="D12" s="22" t="s">
        <v>367</v>
      </c>
      <c r="E12" s="1" t="s">
        <v>365</v>
      </c>
      <c r="F12" s="3" t="str">
        <f aca="false">CONCATENATE("Footprints\",G12,".PcbLib")</f>
        <v>Footprints\SOT23-3.PcbLib</v>
      </c>
      <c r="G12" s="22" t="s">
        <v>192</v>
      </c>
      <c r="J12" s="3" t="s">
        <v>368</v>
      </c>
      <c r="K12" s="3" t="s">
        <v>369</v>
      </c>
    </row>
    <row r="13" customFormat="false" ht="15" hidden="false" customHeight="false" outlineLevel="0" collapsed="false">
      <c r="A13" s="1" t="s">
        <v>370</v>
      </c>
      <c r="B13" s="1" t="s">
        <v>324</v>
      </c>
      <c r="C13" s="2" t="str">
        <f aca="false">A13</f>
        <v>IRFH7084</v>
      </c>
      <c r="D13" s="1" t="s">
        <v>371</v>
      </c>
      <c r="E13" s="1" t="s">
        <v>372</v>
      </c>
      <c r="F13" s="3" t="str">
        <f aca="false">CONCATENATE("Footprints\",G13,".PcbLib")</f>
        <v>Footprints\PQFN_5x6.PcbLib</v>
      </c>
      <c r="G13" s="1" t="s">
        <v>373</v>
      </c>
      <c r="J13" s="3" t="s">
        <v>364</v>
      </c>
      <c r="K13" s="3" t="s">
        <v>374</v>
      </c>
    </row>
    <row r="14" customFormat="false" ht="15" hidden="false" customHeight="false" outlineLevel="0" collapsed="false">
      <c r="A14" s="1" t="s">
        <v>375</v>
      </c>
      <c r="B14" s="1" t="s">
        <v>376</v>
      </c>
      <c r="C14" s="2" t="str">
        <f aca="false">A14</f>
        <v>BC857</v>
      </c>
      <c r="D14" s="22" t="s">
        <v>351</v>
      </c>
      <c r="E14" s="1" t="s">
        <v>352</v>
      </c>
      <c r="F14" s="3" t="str">
        <f aca="false">CONCATENATE("Footprints\",G14,".PcbLib")</f>
        <v>Footprints\SOT23-3.PcbLib</v>
      </c>
      <c r="G14" s="22" t="s">
        <v>192</v>
      </c>
      <c r="J14" s="3" t="s">
        <v>353</v>
      </c>
      <c r="K14" s="3" t="s">
        <v>377</v>
      </c>
      <c r="M14" s="3" t="s">
        <v>146</v>
      </c>
    </row>
    <row r="15" customFormat="false" ht="15" hidden="false" customHeight="false" outlineLevel="0" collapsed="false">
      <c r="A15" s="1" t="s">
        <v>378</v>
      </c>
      <c r="B15" s="22" t="s">
        <v>337</v>
      </c>
      <c r="C15" s="2" t="str">
        <f aca="false">A15</f>
        <v>IPD90P04P405</v>
      </c>
      <c r="D15" s="22" t="s">
        <v>338</v>
      </c>
      <c r="E15" s="22" t="s">
        <v>341</v>
      </c>
      <c r="F15" s="3" t="str">
        <f aca="false">CONCATENATE("Footprints\",G15,".PcbLib")</f>
        <v>Footprints\DPAK.PcbLib</v>
      </c>
      <c r="G15" s="22" t="s">
        <v>327</v>
      </c>
      <c r="J15" s="3" t="s">
        <v>364</v>
      </c>
      <c r="K15" s="3" t="s">
        <v>333</v>
      </c>
      <c r="M15" s="3" t="s">
        <v>146</v>
      </c>
    </row>
    <row r="16" customFormat="false" ht="15" hidden="false" customHeight="false" outlineLevel="0" collapsed="false">
      <c r="A16" s="1" t="s">
        <v>379</v>
      </c>
      <c r="B16" s="1" t="s">
        <v>380</v>
      </c>
      <c r="C16" s="2" t="str">
        <f aca="false">A16</f>
        <v>BC857BS</v>
      </c>
      <c r="D16" s="22" t="s">
        <v>381</v>
      </c>
      <c r="E16" s="1" t="s">
        <v>382</v>
      </c>
      <c r="F16" s="3" t="str">
        <f aca="false">CONCATENATE("Footprints\",G16,".PcbLib")</f>
        <v>Footprints\SOT-363.PcbLib</v>
      </c>
      <c r="G16" s="1" t="s">
        <v>383</v>
      </c>
      <c r="H16" s="3" t="str">
        <f aca="false">CONCATENATE("Footprints\",I16,".PcbLib")</f>
        <v>Footprints\SOT-363_35um.PcbLib</v>
      </c>
      <c r="I16" s="3" t="s">
        <v>384</v>
      </c>
      <c r="J16" s="3" t="s">
        <v>353</v>
      </c>
      <c r="K16" s="3" t="s">
        <v>377</v>
      </c>
      <c r="M16" s="3" t="s">
        <v>146</v>
      </c>
    </row>
    <row r="17" customFormat="false" ht="15" hidden="false" customHeight="false" outlineLevel="0" collapsed="false">
      <c r="A17" s="1" t="s">
        <v>385</v>
      </c>
      <c r="B17" s="22" t="s">
        <v>386</v>
      </c>
      <c r="C17" s="2" t="str">
        <f aca="false">A17</f>
        <v>IRF9310TR</v>
      </c>
      <c r="D17" s="22" t="s">
        <v>343</v>
      </c>
      <c r="E17" s="22" t="s">
        <v>344</v>
      </c>
      <c r="F17" s="3" t="str">
        <f aca="false">CONCATENATE("Footprints\",G17,".PcbLib")</f>
        <v>Footprints\SOIC-8.PcbLib</v>
      </c>
      <c r="G17" s="1" t="s">
        <v>21</v>
      </c>
      <c r="J17" s="3" t="s">
        <v>332</v>
      </c>
      <c r="K17" s="3" t="s">
        <v>387</v>
      </c>
      <c r="M17" s="3" t="s">
        <v>146</v>
      </c>
    </row>
    <row r="18" customFormat="false" ht="15" hidden="false" customHeight="false" outlineLevel="0" collapsed="false">
      <c r="A18" s="1" t="s">
        <v>388</v>
      </c>
      <c r="B18" s="1" t="s">
        <v>389</v>
      </c>
      <c r="C18" s="2" t="str">
        <f aca="false">A18</f>
        <v>IRFH3702</v>
      </c>
      <c r="D18" s="1" t="s">
        <v>371</v>
      </c>
      <c r="E18" s="1" t="s">
        <v>372</v>
      </c>
      <c r="F18" s="3" t="str">
        <f aca="false">CONCATENATE("Footprints\",G18,".PcbLib")</f>
        <v>Footprints\PQFN_3x3.PcbLib</v>
      </c>
      <c r="G18" s="1" t="s">
        <v>390</v>
      </c>
      <c r="J18" s="3" t="s">
        <v>332</v>
      </c>
      <c r="K18" s="3" t="s">
        <v>391</v>
      </c>
      <c r="M18" s="3" t="s">
        <v>146</v>
      </c>
    </row>
    <row r="19" customFormat="false" ht="15.75" hidden="false" customHeight="false" outlineLevel="0" collapsed="false">
      <c r="A19" s="1" t="s">
        <v>392</v>
      </c>
      <c r="B19" s="1" t="s">
        <v>393</v>
      </c>
      <c r="C19" s="2" t="str">
        <f aca="false">A19</f>
        <v>NVMFS5C673NL</v>
      </c>
      <c r="D19" s="1" t="s">
        <v>394</v>
      </c>
      <c r="E19" s="1" t="s">
        <v>395</v>
      </c>
      <c r="F19" s="3" t="str">
        <f aca="false">CONCATENATE("Footprints\",G19,".PcbLib")</f>
        <v>Footprints\DFN5_5x6.PcbLib</v>
      </c>
      <c r="G19" s="1" t="s">
        <v>396</v>
      </c>
      <c r="J19" s="3" t="s">
        <v>329</v>
      </c>
      <c r="K19" s="3" t="s">
        <v>330</v>
      </c>
      <c r="L19" s="11" t="s">
        <v>397</v>
      </c>
      <c r="M19" s="3" t="s">
        <v>146</v>
      </c>
    </row>
    <row r="20" customFormat="false" ht="15.75" hidden="false" customHeight="false" outlineLevel="0" collapsed="false">
      <c r="A20" s="1" t="s">
        <v>398</v>
      </c>
      <c r="B20" s="1" t="s">
        <v>393</v>
      </c>
      <c r="C20" s="2" t="str">
        <f aca="false">A20</f>
        <v>CSD18534Q5A</v>
      </c>
      <c r="D20" s="1" t="s">
        <v>394</v>
      </c>
      <c r="E20" s="1" t="s">
        <v>395</v>
      </c>
      <c r="F20" s="3" t="str">
        <f aca="false">CONCATENATE("Footprints\",G20,".PcbLib")</f>
        <v>Footprints\SON-8_5x6.PcbLib</v>
      </c>
      <c r="G20" s="1" t="s">
        <v>399</v>
      </c>
      <c r="J20" s="3" t="s">
        <v>329</v>
      </c>
      <c r="K20" s="3" t="s">
        <v>330</v>
      </c>
      <c r="L20" s="11" t="s">
        <v>400</v>
      </c>
      <c r="M20" s="3" t="s">
        <v>146</v>
      </c>
    </row>
  </sheetData>
  <hyperlinks>
    <hyperlink ref="L19" r:id="rId1" display="https://www.elitan.ru/pdf/1/0/1/3/3/10133013.pdf"/>
    <hyperlink ref="L20" r:id="rId2" display="https://static.chipdip.ru/lib/647/DOC053647214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92"/>
  <sheetViews>
    <sheetView showFormulas="false" showGridLines="true" showRowColHeaders="true" showZeros="true" rightToLeft="false" tabSelected="true" showOutlineSymbols="true" defaultGridColor="true" view="normal" topLeftCell="A139" colorId="64" zoomScale="70" zoomScaleNormal="70" zoomScalePageLayoutView="100" workbookViewId="0">
      <selection pane="topLeft" activeCell="E199" activeCellId="0" sqref="E199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1.57"/>
    <col collapsed="false" customWidth="true" hidden="false" outlineLevel="0" max="2" min="2" style="0" width="44.57"/>
    <col collapsed="false" customWidth="true" hidden="false" outlineLevel="0" max="3" min="3" style="0" width="12.29"/>
    <col collapsed="false" customWidth="true" hidden="false" outlineLevel="0" max="4" min="4" style="0" width="24.43"/>
    <col collapsed="false" customWidth="true" hidden="false" outlineLevel="0" max="5" min="5" style="0" width="13"/>
    <col collapsed="false" customWidth="true" hidden="false" outlineLevel="0" max="6" min="6" style="0" width="8.29"/>
    <col collapsed="false" customWidth="true" hidden="false" outlineLevel="0" max="7" min="7" style="0" width="12.29"/>
    <col collapsed="false" customWidth="true" hidden="false" outlineLevel="0" max="8" min="8" style="0" width="32"/>
    <col collapsed="false" customWidth="true" hidden="false" outlineLevel="0" max="9" min="9" style="0" width="16.72"/>
    <col collapsed="false" customWidth="true" hidden="false" outlineLevel="0" max="10" min="10" style="0" width="41.29"/>
    <col collapsed="false" customWidth="true" hidden="false" outlineLevel="0" max="11" min="11" style="0" width="18.29"/>
    <col collapsed="false" customWidth="true" hidden="false" outlineLevel="0" max="12" min="12" style="0" width="41.29"/>
    <col collapsed="false" customWidth="true" hidden="false" outlineLevel="0" max="13" min="13" style="0" width="18.29"/>
    <col collapsed="false" customWidth="true" hidden="false" outlineLevel="0" max="14" min="14" style="0" width="16.7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264</v>
      </c>
      <c r="G1" s="1" t="s">
        <v>401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24" t="s">
        <v>11</v>
      </c>
      <c r="O1" s="1" t="s">
        <v>12</v>
      </c>
    </row>
    <row r="2" customFormat="false" ht="15" hidden="false" customHeight="false" outlineLevel="0" collapsed="false">
      <c r="A2" s="22" t="s">
        <v>402</v>
      </c>
      <c r="B2" s="22" t="s">
        <v>403</v>
      </c>
      <c r="C2" s="22" t="s">
        <v>404</v>
      </c>
      <c r="D2" s="22" t="s">
        <v>405</v>
      </c>
      <c r="E2" s="22" t="s">
        <v>404</v>
      </c>
      <c r="F2" s="22" t="s">
        <v>406</v>
      </c>
      <c r="G2" s="25" t="s">
        <v>407</v>
      </c>
      <c r="H2" s="22" t="s">
        <v>408</v>
      </c>
      <c r="I2" s="22" t="s">
        <v>409</v>
      </c>
      <c r="J2" s="1"/>
      <c r="K2" s="1"/>
      <c r="L2" s="1"/>
      <c r="M2" s="1"/>
      <c r="N2" s="26"/>
      <c r="O2" s="1"/>
    </row>
    <row r="3" customFormat="false" ht="15" hidden="false" customHeight="false" outlineLevel="0" collapsed="false">
      <c r="A3" s="22" t="s">
        <v>410</v>
      </c>
      <c r="B3" s="22" t="s">
        <v>411</v>
      </c>
      <c r="C3" s="22" t="s">
        <v>404</v>
      </c>
      <c r="D3" s="22" t="s">
        <v>405</v>
      </c>
      <c r="E3" s="22" t="s">
        <v>404</v>
      </c>
      <c r="F3" s="22" t="s">
        <v>412</v>
      </c>
      <c r="G3" s="27" t="n">
        <v>0.01</v>
      </c>
      <c r="H3" s="22" t="s">
        <v>408</v>
      </c>
      <c r="I3" s="22" t="s">
        <v>409</v>
      </c>
      <c r="J3" s="1"/>
      <c r="K3" s="1"/>
      <c r="L3" s="1"/>
      <c r="M3" s="1"/>
      <c r="N3" s="28"/>
      <c r="O3" s="1"/>
    </row>
    <row r="4" customFormat="false" ht="15" hidden="false" customHeight="false" outlineLevel="0" collapsed="false">
      <c r="A4" s="22" t="s">
        <v>413</v>
      </c>
      <c r="B4" s="22" t="s">
        <v>414</v>
      </c>
      <c r="C4" s="22" t="s">
        <v>404</v>
      </c>
      <c r="D4" s="22" t="s">
        <v>405</v>
      </c>
      <c r="E4" s="22" t="s">
        <v>404</v>
      </c>
      <c r="F4" s="22" t="s">
        <v>415</v>
      </c>
      <c r="G4" s="27" t="n">
        <v>0.01</v>
      </c>
      <c r="H4" s="22" t="s">
        <v>408</v>
      </c>
      <c r="I4" s="22" t="s">
        <v>409</v>
      </c>
      <c r="J4" s="1"/>
      <c r="K4" s="1"/>
      <c r="L4" s="1"/>
      <c r="M4" s="1"/>
      <c r="N4" s="26"/>
      <c r="O4" s="1"/>
    </row>
    <row r="5" customFormat="false" ht="15" hidden="false" customHeight="false" outlineLevel="0" collapsed="false">
      <c r="A5" s="22" t="s">
        <v>416</v>
      </c>
      <c r="B5" s="22" t="s">
        <v>417</v>
      </c>
      <c r="C5" s="22" t="s">
        <v>404</v>
      </c>
      <c r="D5" s="22" t="s">
        <v>405</v>
      </c>
      <c r="E5" s="22" t="s">
        <v>404</v>
      </c>
      <c r="F5" s="22" t="s">
        <v>418</v>
      </c>
      <c r="G5" s="27" t="n">
        <v>0.01</v>
      </c>
      <c r="H5" s="22" t="s">
        <v>408</v>
      </c>
      <c r="I5" s="22" t="s">
        <v>409</v>
      </c>
      <c r="J5" s="1"/>
      <c r="K5" s="1"/>
      <c r="L5" s="1"/>
      <c r="M5" s="1"/>
      <c r="N5" s="28"/>
      <c r="O5" s="1"/>
    </row>
    <row r="6" customFormat="false" ht="15" hidden="false" customHeight="false" outlineLevel="0" collapsed="false">
      <c r="A6" s="22" t="s">
        <v>419</v>
      </c>
      <c r="B6" s="22" t="s">
        <v>420</v>
      </c>
      <c r="C6" s="22" t="s">
        <v>404</v>
      </c>
      <c r="D6" s="22" t="s">
        <v>405</v>
      </c>
      <c r="E6" s="22" t="s">
        <v>404</v>
      </c>
      <c r="F6" s="22" t="s">
        <v>421</v>
      </c>
      <c r="G6" s="27" t="n">
        <v>0.01</v>
      </c>
      <c r="H6" s="22" t="s">
        <v>408</v>
      </c>
      <c r="I6" s="22" t="s">
        <v>409</v>
      </c>
      <c r="J6" s="1"/>
      <c r="K6" s="1"/>
      <c r="L6" s="1"/>
      <c r="M6" s="1"/>
      <c r="N6" s="26"/>
      <c r="O6" s="1"/>
    </row>
    <row r="7" customFormat="false" ht="15" hidden="false" customHeight="false" outlineLevel="0" collapsed="false">
      <c r="A7" s="22" t="s">
        <v>422</v>
      </c>
      <c r="B7" s="22" t="s">
        <v>423</v>
      </c>
      <c r="C7" s="22" t="s">
        <v>404</v>
      </c>
      <c r="D7" s="22" t="s">
        <v>405</v>
      </c>
      <c r="E7" s="22" t="s">
        <v>404</v>
      </c>
      <c r="F7" s="22" t="s">
        <v>424</v>
      </c>
      <c r="G7" s="27" t="n">
        <v>0.01</v>
      </c>
      <c r="H7" s="22" t="s">
        <v>408</v>
      </c>
      <c r="I7" s="22" t="s">
        <v>409</v>
      </c>
      <c r="J7" s="1"/>
      <c r="K7" s="1"/>
      <c r="L7" s="1"/>
      <c r="M7" s="1"/>
      <c r="N7" s="28"/>
      <c r="O7" s="1"/>
    </row>
    <row r="8" customFormat="false" ht="15" hidden="false" customHeight="false" outlineLevel="0" collapsed="false">
      <c r="A8" s="22" t="s">
        <v>425</v>
      </c>
      <c r="B8" s="22" t="s">
        <v>426</v>
      </c>
      <c r="C8" s="22" t="s">
        <v>404</v>
      </c>
      <c r="D8" s="22" t="s">
        <v>405</v>
      </c>
      <c r="E8" s="22" t="s">
        <v>404</v>
      </c>
      <c r="F8" s="22" t="s">
        <v>427</v>
      </c>
      <c r="G8" s="27" t="n">
        <v>0.01</v>
      </c>
      <c r="H8" s="22" t="s">
        <v>408</v>
      </c>
      <c r="I8" s="22" t="s">
        <v>409</v>
      </c>
      <c r="J8" s="1"/>
      <c r="K8" s="1"/>
      <c r="L8" s="1"/>
      <c r="M8" s="1"/>
      <c r="N8" s="26"/>
      <c r="O8" s="1"/>
    </row>
    <row r="9" customFormat="false" ht="15" hidden="false" customHeight="false" outlineLevel="0" collapsed="false">
      <c r="A9" s="22" t="s">
        <v>428</v>
      </c>
      <c r="B9" s="22" t="s">
        <v>429</v>
      </c>
      <c r="C9" s="22" t="s">
        <v>404</v>
      </c>
      <c r="D9" s="22" t="s">
        <v>405</v>
      </c>
      <c r="E9" s="22" t="s">
        <v>404</v>
      </c>
      <c r="F9" s="22" t="s">
        <v>430</v>
      </c>
      <c r="G9" s="27" t="n">
        <v>0.01</v>
      </c>
      <c r="H9" s="22" t="s">
        <v>408</v>
      </c>
      <c r="I9" s="22" t="s">
        <v>409</v>
      </c>
      <c r="J9" s="1"/>
      <c r="K9" s="1"/>
      <c r="L9" s="1"/>
      <c r="M9" s="1"/>
      <c r="N9" s="28"/>
      <c r="O9" s="1"/>
    </row>
    <row r="10" customFormat="false" ht="15" hidden="false" customHeight="false" outlineLevel="0" collapsed="false">
      <c r="A10" s="22" t="s">
        <v>431</v>
      </c>
      <c r="B10" s="22" t="s">
        <v>432</v>
      </c>
      <c r="C10" s="22" t="s">
        <v>404</v>
      </c>
      <c r="D10" s="22" t="s">
        <v>405</v>
      </c>
      <c r="E10" s="22" t="s">
        <v>404</v>
      </c>
      <c r="F10" s="22" t="s">
        <v>433</v>
      </c>
      <c r="G10" s="27" t="n">
        <v>0.01</v>
      </c>
      <c r="H10" s="22" t="s">
        <v>408</v>
      </c>
      <c r="I10" s="22" t="s">
        <v>409</v>
      </c>
      <c r="J10" s="1"/>
      <c r="K10" s="1"/>
      <c r="L10" s="1"/>
      <c r="M10" s="1"/>
      <c r="N10" s="26"/>
      <c r="O10" s="1"/>
    </row>
    <row r="11" customFormat="false" ht="15" hidden="false" customHeight="false" outlineLevel="0" collapsed="false">
      <c r="A11" s="22" t="s">
        <v>434</v>
      </c>
      <c r="B11" s="22" t="s">
        <v>435</v>
      </c>
      <c r="C11" s="22" t="s">
        <v>404</v>
      </c>
      <c r="D11" s="22" t="s">
        <v>405</v>
      </c>
      <c r="E11" s="22" t="s">
        <v>404</v>
      </c>
      <c r="F11" s="22" t="s">
        <v>436</v>
      </c>
      <c r="G11" s="27" t="n">
        <v>0.01</v>
      </c>
      <c r="H11" s="22" t="s">
        <v>408</v>
      </c>
      <c r="I11" s="22" t="s">
        <v>409</v>
      </c>
      <c r="J11" s="1"/>
      <c r="K11" s="1"/>
      <c r="L11" s="1"/>
      <c r="M11" s="1"/>
      <c r="N11" s="28"/>
      <c r="O11" s="1"/>
    </row>
    <row r="12" customFormat="false" ht="15" hidden="false" customHeight="false" outlineLevel="0" collapsed="false">
      <c r="A12" s="22" t="s">
        <v>437</v>
      </c>
      <c r="B12" s="22" t="s">
        <v>438</v>
      </c>
      <c r="C12" s="22" t="s">
        <v>404</v>
      </c>
      <c r="D12" s="22" t="s">
        <v>405</v>
      </c>
      <c r="E12" s="22" t="s">
        <v>404</v>
      </c>
      <c r="F12" s="22" t="s">
        <v>439</v>
      </c>
      <c r="G12" s="27" t="n">
        <v>0.01</v>
      </c>
      <c r="H12" s="22" t="s">
        <v>408</v>
      </c>
      <c r="I12" s="22" t="s">
        <v>409</v>
      </c>
      <c r="J12" s="1"/>
      <c r="K12" s="1"/>
      <c r="L12" s="1"/>
      <c r="M12" s="1"/>
      <c r="N12" s="26"/>
      <c r="O12" s="1"/>
    </row>
    <row r="13" customFormat="false" ht="15" hidden="false" customHeight="false" outlineLevel="0" collapsed="false">
      <c r="A13" s="22" t="s">
        <v>440</v>
      </c>
      <c r="B13" s="22" t="s">
        <v>441</v>
      </c>
      <c r="C13" s="22" t="s">
        <v>404</v>
      </c>
      <c r="D13" s="22" t="s">
        <v>405</v>
      </c>
      <c r="E13" s="22" t="s">
        <v>404</v>
      </c>
      <c r="F13" s="22" t="s">
        <v>442</v>
      </c>
      <c r="G13" s="27" t="n">
        <v>0.01</v>
      </c>
      <c r="H13" s="22" t="s">
        <v>408</v>
      </c>
      <c r="I13" s="22" t="s">
        <v>409</v>
      </c>
      <c r="J13" s="1"/>
      <c r="K13" s="1"/>
      <c r="L13" s="1"/>
      <c r="M13" s="1"/>
      <c r="N13" s="28"/>
      <c r="O13" s="1"/>
    </row>
    <row r="14" customFormat="false" ht="15" hidden="false" customHeight="false" outlineLevel="0" collapsed="false">
      <c r="A14" s="22" t="s">
        <v>443</v>
      </c>
      <c r="B14" s="22" t="s">
        <v>444</v>
      </c>
      <c r="C14" s="22" t="s">
        <v>404</v>
      </c>
      <c r="D14" s="22" t="s">
        <v>405</v>
      </c>
      <c r="E14" s="22" t="s">
        <v>404</v>
      </c>
      <c r="F14" s="22" t="s">
        <v>445</v>
      </c>
      <c r="G14" s="27" t="n">
        <v>0.01</v>
      </c>
      <c r="H14" s="22" t="s">
        <v>408</v>
      </c>
      <c r="I14" s="22" t="s">
        <v>409</v>
      </c>
      <c r="J14" s="1"/>
      <c r="K14" s="1"/>
      <c r="L14" s="1"/>
      <c r="M14" s="1"/>
      <c r="N14" s="26"/>
      <c r="O14" s="1"/>
    </row>
    <row r="15" customFormat="false" ht="15" hidden="false" customHeight="false" outlineLevel="0" collapsed="false">
      <c r="A15" s="22" t="s">
        <v>446</v>
      </c>
      <c r="B15" s="22" t="s">
        <v>447</v>
      </c>
      <c r="C15" s="22" t="s">
        <v>404</v>
      </c>
      <c r="D15" s="22" t="s">
        <v>405</v>
      </c>
      <c r="E15" s="22" t="s">
        <v>404</v>
      </c>
      <c r="F15" s="22" t="s">
        <v>448</v>
      </c>
      <c r="G15" s="27" t="n">
        <v>0.01</v>
      </c>
      <c r="H15" s="22" t="s">
        <v>408</v>
      </c>
      <c r="I15" s="22" t="s">
        <v>409</v>
      </c>
      <c r="J15" s="1"/>
      <c r="K15" s="1"/>
      <c r="L15" s="1"/>
      <c r="M15" s="1"/>
      <c r="N15" s="28"/>
      <c r="O15" s="1"/>
    </row>
    <row r="16" customFormat="false" ht="15" hidden="false" customHeight="false" outlineLevel="0" collapsed="false">
      <c r="A16" s="22" t="s">
        <v>449</v>
      </c>
      <c r="B16" s="22" t="s">
        <v>450</v>
      </c>
      <c r="C16" s="22" t="s">
        <v>404</v>
      </c>
      <c r="D16" s="22" t="s">
        <v>405</v>
      </c>
      <c r="E16" s="22" t="s">
        <v>404</v>
      </c>
      <c r="F16" s="22" t="s">
        <v>451</v>
      </c>
      <c r="G16" s="27" t="n">
        <v>0.01</v>
      </c>
      <c r="H16" s="22" t="s">
        <v>408</v>
      </c>
      <c r="I16" s="22" t="s">
        <v>409</v>
      </c>
      <c r="J16" s="1"/>
      <c r="K16" s="1"/>
      <c r="L16" s="1"/>
      <c r="M16" s="1"/>
      <c r="N16" s="26"/>
      <c r="O16" s="1"/>
    </row>
    <row r="17" customFormat="false" ht="15" hidden="false" customHeight="false" outlineLevel="0" collapsed="false">
      <c r="A17" s="22" t="s">
        <v>452</v>
      </c>
      <c r="B17" s="22" t="s">
        <v>453</v>
      </c>
      <c r="C17" s="22" t="s">
        <v>404</v>
      </c>
      <c r="D17" s="22" t="s">
        <v>405</v>
      </c>
      <c r="E17" s="22" t="s">
        <v>404</v>
      </c>
      <c r="F17" s="22" t="s">
        <v>454</v>
      </c>
      <c r="G17" s="27" t="n">
        <v>0.01</v>
      </c>
      <c r="H17" s="22" t="s">
        <v>408</v>
      </c>
      <c r="I17" s="22" t="s">
        <v>409</v>
      </c>
      <c r="J17" s="1"/>
      <c r="K17" s="1"/>
      <c r="L17" s="1"/>
      <c r="M17" s="1"/>
      <c r="N17" s="28"/>
      <c r="O17" s="1"/>
    </row>
    <row r="18" customFormat="false" ht="15" hidden="false" customHeight="false" outlineLevel="0" collapsed="false">
      <c r="A18" s="22" t="s">
        <v>455</v>
      </c>
      <c r="B18" s="22" t="s">
        <v>456</v>
      </c>
      <c r="C18" s="22" t="s">
        <v>404</v>
      </c>
      <c r="D18" s="22" t="s">
        <v>405</v>
      </c>
      <c r="E18" s="22" t="s">
        <v>404</v>
      </c>
      <c r="F18" s="22" t="s">
        <v>457</v>
      </c>
      <c r="G18" s="27" t="n">
        <v>0.01</v>
      </c>
      <c r="H18" s="22" t="s">
        <v>408</v>
      </c>
      <c r="I18" s="22" t="s">
        <v>409</v>
      </c>
      <c r="J18" s="1"/>
      <c r="K18" s="1"/>
      <c r="L18" s="1"/>
      <c r="M18" s="1"/>
      <c r="N18" s="26"/>
      <c r="O18" s="1"/>
    </row>
    <row r="19" customFormat="false" ht="15" hidden="false" customHeight="false" outlineLevel="0" collapsed="false">
      <c r="A19" s="22" t="s">
        <v>458</v>
      </c>
      <c r="B19" s="22" t="s">
        <v>459</v>
      </c>
      <c r="C19" s="22" t="s">
        <v>404</v>
      </c>
      <c r="D19" s="22" t="s">
        <v>405</v>
      </c>
      <c r="E19" s="22" t="s">
        <v>404</v>
      </c>
      <c r="F19" s="22" t="s">
        <v>460</v>
      </c>
      <c r="G19" s="27" t="n">
        <v>0.01</v>
      </c>
      <c r="H19" s="22" t="s">
        <v>408</v>
      </c>
      <c r="I19" s="22" t="s">
        <v>409</v>
      </c>
      <c r="J19" s="1"/>
      <c r="K19" s="1"/>
      <c r="L19" s="1"/>
      <c r="M19" s="1"/>
      <c r="N19" s="28"/>
      <c r="O19" s="1"/>
    </row>
    <row r="20" customFormat="false" ht="15" hidden="false" customHeight="false" outlineLevel="0" collapsed="false">
      <c r="A20" s="22" t="s">
        <v>461</v>
      </c>
      <c r="B20" s="22" t="s">
        <v>462</v>
      </c>
      <c r="C20" s="22" t="s">
        <v>404</v>
      </c>
      <c r="D20" s="22" t="s">
        <v>405</v>
      </c>
      <c r="E20" s="22" t="s">
        <v>404</v>
      </c>
      <c r="F20" s="22" t="s">
        <v>463</v>
      </c>
      <c r="G20" s="27" t="n">
        <v>0.01</v>
      </c>
      <c r="H20" s="22" t="s">
        <v>408</v>
      </c>
      <c r="I20" s="22" t="s">
        <v>409</v>
      </c>
      <c r="J20" s="1"/>
      <c r="K20" s="1"/>
      <c r="L20" s="1"/>
      <c r="M20" s="1"/>
      <c r="N20" s="26"/>
      <c r="O20" s="1"/>
    </row>
    <row r="21" customFormat="false" ht="15" hidden="false" customHeight="false" outlineLevel="0" collapsed="false">
      <c r="A21" s="22" t="s">
        <v>464</v>
      </c>
      <c r="B21" s="22" t="s">
        <v>465</v>
      </c>
      <c r="C21" s="22" t="s">
        <v>404</v>
      </c>
      <c r="D21" s="22" t="s">
        <v>405</v>
      </c>
      <c r="E21" s="22" t="s">
        <v>404</v>
      </c>
      <c r="F21" s="22" t="s">
        <v>466</v>
      </c>
      <c r="G21" s="27" t="n">
        <v>0.01</v>
      </c>
      <c r="H21" s="22" t="s">
        <v>408</v>
      </c>
      <c r="I21" s="22" t="s">
        <v>409</v>
      </c>
      <c r="J21" s="1"/>
      <c r="K21" s="1"/>
      <c r="L21" s="1"/>
      <c r="M21" s="1"/>
      <c r="N21" s="28"/>
      <c r="O21" s="1"/>
    </row>
    <row r="22" customFormat="false" ht="15" hidden="false" customHeight="false" outlineLevel="0" collapsed="false">
      <c r="A22" s="22" t="s">
        <v>467</v>
      </c>
      <c r="B22" s="22" t="s">
        <v>468</v>
      </c>
      <c r="C22" s="22" t="s">
        <v>404</v>
      </c>
      <c r="D22" s="22" t="s">
        <v>405</v>
      </c>
      <c r="E22" s="22" t="s">
        <v>404</v>
      </c>
      <c r="F22" s="22" t="s">
        <v>469</v>
      </c>
      <c r="G22" s="27" t="n">
        <v>0.01</v>
      </c>
      <c r="H22" s="22" t="s">
        <v>408</v>
      </c>
      <c r="I22" s="22" t="s">
        <v>409</v>
      </c>
      <c r="J22" s="1"/>
      <c r="K22" s="1"/>
      <c r="L22" s="1"/>
      <c r="M22" s="1"/>
      <c r="N22" s="26"/>
      <c r="O22" s="1"/>
    </row>
    <row r="23" customFormat="false" ht="15" hidden="false" customHeight="false" outlineLevel="0" collapsed="false">
      <c r="A23" s="22" t="s">
        <v>470</v>
      </c>
      <c r="B23" s="22" t="s">
        <v>471</v>
      </c>
      <c r="C23" s="22" t="s">
        <v>404</v>
      </c>
      <c r="D23" s="22" t="s">
        <v>405</v>
      </c>
      <c r="E23" s="22" t="s">
        <v>404</v>
      </c>
      <c r="F23" s="22" t="s">
        <v>472</v>
      </c>
      <c r="G23" s="27" t="n">
        <v>0.01</v>
      </c>
      <c r="H23" s="22" t="s">
        <v>408</v>
      </c>
      <c r="I23" s="22" t="s">
        <v>409</v>
      </c>
      <c r="J23" s="1"/>
      <c r="K23" s="1"/>
      <c r="L23" s="1"/>
      <c r="M23" s="1"/>
      <c r="N23" s="28"/>
      <c r="O23" s="1"/>
    </row>
    <row r="24" customFormat="false" ht="15" hidden="false" customHeight="false" outlineLevel="0" collapsed="false">
      <c r="A24" s="22" t="s">
        <v>473</v>
      </c>
      <c r="B24" s="22" t="s">
        <v>474</v>
      </c>
      <c r="C24" s="22" t="s">
        <v>404</v>
      </c>
      <c r="D24" s="22" t="s">
        <v>405</v>
      </c>
      <c r="E24" s="22" t="s">
        <v>404</v>
      </c>
      <c r="F24" s="22" t="s">
        <v>475</v>
      </c>
      <c r="G24" s="27" t="n">
        <v>0.01</v>
      </c>
      <c r="H24" s="22" t="s">
        <v>408</v>
      </c>
      <c r="I24" s="22" t="s">
        <v>409</v>
      </c>
      <c r="J24" s="1"/>
      <c r="K24" s="1"/>
      <c r="L24" s="1"/>
      <c r="M24" s="1"/>
      <c r="N24" s="26"/>
      <c r="O24" s="1"/>
    </row>
    <row r="25" customFormat="false" ht="15" hidden="false" customHeight="false" outlineLevel="0" collapsed="false">
      <c r="A25" s="22" t="s">
        <v>476</v>
      </c>
      <c r="B25" s="22" t="s">
        <v>477</v>
      </c>
      <c r="C25" s="22" t="s">
        <v>404</v>
      </c>
      <c r="D25" s="22" t="s">
        <v>405</v>
      </c>
      <c r="E25" s="22" t="s">
        <v>404</v>
      </c>
      <c r="F25" s="22" t="s">
        <v>478</v>
      </c>
      <c r="G25" s="27" t="n">
        <v>0.01</v>
      </c>
      <c r="H25" s="22" t="s">
        <v>408</v>
      </c>
      <c r="I25" s="22" t="s">
        <v>409</v>
      </c>
      <c r="J25" s="1"/>
      <c r="K25" s="1"/>
      <c r="L25" s="1"/>
      <c r="M25" s="1"/>
      <c r="N25" s="28"/>
      <c r="O25" s="1"/>
    </row>
    <row r="26" customFormat="false" ht="15" hidden="false" customHeight="false" outlineLevel="0" collapsed="false">
      <c r="A26" s="22" t="s">
        <v>479</v>
      </c>
      <c r="B26" s="22" t="s">
        <v>480</v>
      </c>
      <c r="C26" s="22" t="s">
        <v>404</v>
      </c>
      <c r="D26" s="22" t="s">
        <v>405</v>
      </c>
      <c r="E26" s="22" t="s">
        <v>404</v>
      </c>
      <c r="F26" s="22" t="s">
        <v>294</v>
      </c>
      <c r="G26" s="27" t="n">
        <v>0.01</v>
      </c>
      <c r="H26" s="22" t="s">
        <v>408</v>
      </c>
      <c r="I26" s="22" t="s">
        <v>409</v>
      </c>
      <c r="J26" s="1"/>
      <c r="K26" s="1"/>
      <c r="L26" s="1"/>
      <c r="M26" s="1"/>
      <c r="N26" s="26"/>
      <c r="O26" s="1"/>
    </row>
    <row r="27" customFormat="false" ht="15" hidden="false" customHeight="false" outlineLevel="0" collapsed="false">
      <c r="A27" s="22" t="s">
        <v>481</v>
      </c>
      <c r="B27" s="22" t="s">
        <v>482</v>
      </c>
      <c r="C27" s="22" t="s">
        <v>404</v>
      </c>
      <c r="D27" s="22" t="s">
        <v>405</v>
      </c>
      <c r="E27" s="22" t="s">
        <v>404</v>
      </c>
      <c r="F27" s="22" t="s">
        <v>287</v>
      </c>
      <c r="G27" s="27" t="n">
        <v>0.01</v>
      </c>
      <c r="H27" s="22" t="s">
        <v>408</v>
      </c>
      <c r="I27" s="22" t="s">
        <v>409</v>
      </c>
      <c r="J27" s="1"/>
      <c r="K27" s="1"/>
      <c r="L27" s="1"/>
      <c r="M27" s="1"/>
      <c r="N27" s="28"/>
      <c r="O27" s="1"/>
    </row>
    <row r="28" customFormat="false" ht="15" hidden="false" customHeight="false" outlineLevel="0" collapsed="false">
      <c r="A28" s="22" t="s">
        <v>483</v>
      </c>
      <c r="B28" s="22" t="s">
        <v>484</v>
      </c>
      <c r="C28" s="22" t="s">
        <v>404</v>
      </c>
      <c r="D28" s="22" t="s">
        <v>405</v>
      </c>
      <c r="E28" s="22" t="s">
        <v>404</v>
      </c>
      <c r="F28" s="22" t="s">
        <v>271</v>
      </c>
      <c r="G28" s="27" t="n">
        <v>0.01</v>
      </c>
      <c r="H28" s="22" t="s">
        <v>408</v>
      </c>
      <c r="I28" s="22" t="s">
        <v>409</v>
      </c>
      <c r="J28" s="1"/>
      <c r="K28" s="1"/>
      <c r="L28" s="1"/>
      <c r="M28" s="1"/>
      <c r="N28" s="26"/>
      <c r="O28" s="1"/>
    </row>
    <row r="29" customFormat="false" ht="15" hidden="false" customHeight="false" outlineLevel="0" collapsed="false">
      <c r="A29" s="22" t="s">
        <v>485</v>
      </c>
      <c r="B29" s="22" t="s">
        <v>486</v>
      </c>
      <c r="C29" s="22" t="s">
        <v>404</v>
      </c>
      <c r="D29" s="22" t="s">
        <v>405</v>
      </c>
      <c r="E29" s="22" t="s">
        <v>404</v>
      </c>
      <c r="F29" s="22" t="s">
        <v>487</v>
      </c>
      <c r="G29" s="27" t="n">
        <v>0.01</v>
      </c>
      <c r="H29" s="22" t="s">
        <v>408</v>
      </c>
      <c r="I29" s="22" t="s">
        <v>409</v>
      </c>
      <c r="J29" s="1"/>
      <c r="K29" s="1"/>
      <c r="L29" s="1"/>
      <c r="M29" s="1"/>
      <c r="N29" s="28"/>
      <c r="O29" s="1"/>
    </row>
    <row r="30" customFormat="false" ht="15" hidden="false" customHeight="false" outlineLevel="0" collapsed="false">
      <c r="A30" s="22" t="s">
        <v>488</v>
      </c>
      <c r="B30" s="22" t="s">
        <v>489</v>
      </c>
      <c r="C30" s="22" t="s">
        <v>404</v>
      </c>
      <c r="D30" s="22" t="s">
        <v>405</v>
      </c>
      <c r="E30" s="22" t="s">
        <v>404</v>
      </c>
      <c r="F30" s="22" t="s">
        <v>490</v>
      </c>
      <c r="G30" s="27" t="n">
        <v>0.01</v>
      </c>
      <c r="H30" s="22" t="s">
        <v>408</v>
      </c>
      <c r="I30" s="22" t="s">
        <v>409</v>
      </c>
      <c r="J30" s="1"/>
      <c r="K30" s="1"/>
      <c r="L30" s="1"/>
      <c r="M30" s="1"/>
      <c r="N30" s="26"/>
      <c r="O30" s="1"/>
    </row>
    <row r="31" customFormat="false" ht="15" hidden="false" customHeight="false" outlineLevel="0" collapsed="false">
      <c r="A31" s="22" t="s">
        <v>491</v>
      </c>
      <c r="B31" s="22" t="s">
        <v>492</v>
      </c>
      <c r="C31" s="22" t="s">
        <v>404</v>
      </c>
      <c r="D31" s="22" t="s">
        <v>405</v>
      </c>
      <c r="E31" s="22" t="s">
        <v>404</v>
      </c>
      <c r="F31" s="22" t="s">
        <v>493</v>
      </c>
      <c r="G31" s="27" t="n">
        <v>0.01</v>
      </c>
      <c r="H31" s="22" t="s">
        <v>408</v>
      </c>
      <c r="I31" s="22" t="s">
        <v>409</v>
      </c>
      <c r="J31" s="1"/>
      <c r="K31" s="1"/>
      <c r="L31" s="1"/>
      <c r="M31" s="1"/>
      <c r="N31" s="28"/>
      <c r="O31" s="1"/>
    </row>
    <row r="32" customFormat="false" ht="15" hidden="false" customHeight="false" outlineLevel="0" collapsed="false">
      <c r="A32" s="22" t="s">
        <v>494</v>
      </c>
      <c r="B32" s="22" t="s">
        <v>495</v>
      </c>
      <c r="C32" s="22" t="s">
        <v>404</v>
      </c>
      <c r="D32" s="22" t="s">
        <v>405</v>
      </c>
      <c r="E32" s="22" t="s">
        <v>404</v>
      </c>
      <c r="F32" s="22" t="s">
        <v>496</v>
      </c>
      <c r="G32" s="27" t="n">
        <v>0.01</v>
      </c>
      <c r="H32" s="22" t="s">
        <v>408</v>
      </c>
      <c r="I32" s="22" t="s">
        <v>409</v>
      </c>
      <c r="J32" s="1"/>
      <c r="K32" s="1"/>
      <c r="L32" s="1"/>
      <c r="M32" s="1"/>
      <c r="N32" s="26"/>
      <c r="O32" s="1"/>
    </row>
    <row r="33" customFormat="false" ht="15" hidden="false" customHeight="false" outlineLevel="0" collapsed="false">
      <c r="A33" s="22" t="s">
        <v>497</v>
      </c>
      <c r="B33" s="22" t="s">
        <v>498</v>
      </c>
      <c r="C33" s="22" t="s">
        <v>404</v>
      </c>
      <c r="D33" s="22" t="s">
        <v>405</v>
      </c>
      <c r="E33" s="22" t="s">
        <v>404</v>
      </c>
      <c r="F33" s="22" t="s">
        <v>241</v>
      </c>
      <c r="G33" s="27" t="n">
        <v>0.01</v>
      </c>
      <c r="H33" s="22" t="s">
        <v>408</v>
      </c>
      <c r="I33" s="22" t="s">
        <v>409</v>
      </c>
      <c r="J33" s="1"/>
      <c r="K33" s="1"/>
      <c r="L33" s="1"/>
      <c r="M33" s="1"/>
      <c r="N33" s="28"/>
      <c r="O33" s="1"/>
    </row>
    <row r="34" customFormat="false" ht="15" hidden="false" customHeight="false" outlineLevel="0" collapsed="false">
      <c r="A34" s="22" t="s">
        <v>499</v>
      </c>
      <c r="B34" s="22" t="s">
        <v>500</v>
      </c>
      <c r="C34" s="22" t="s">
        <v>404</v>
      </c>
      <c r="D34" s="22" t="s">
        <v>405</v>
      </c>
      <c r="E34" s="22" t="s">
        <v>404</v>
      </c>
      <c r="F34" s="22" t="s">
        <v>501</v>
      </c>
      <c r="G34" s="27" t="n">
        <v>0.01</v>
      </c>
      <c r="H34" s="22" t="s">
        <v>408</v>
      </c>
      <c r="I34" s="22" t="s">
        <v>409</v>
      </c>
      <c r="J34" s="1"/>
      <c r="K34" s="1"/>
      <c r="L34" s="1"/>
      <c r="M34" s="1"/>
      <c r="N34" s="26"/>
      <c r="O34" s="1"/>
    </row>
    <row r="35" customFormat="false" ht="15" hidden="false" customHeight="false" outlineLevel="0" collapsed="false">
      <c r="A35" s="22" t="s">
        <v>502</v>
      </c>
      <c r="B35" s="22" t="s">
        <v>503</v>
      </c>
      <c r="C35" s="22" t="s">
        <v>404</v>
      </c>
      <c r="D35" s="22" t="s">
        <v>405</v>
      </c>
      <c r="E35" s="22" t="s">
        <v>404</v>
      </c>
      <c r="F35" s="22" t="s">
        <v>504</v>
      </c>
      <c r="G35" s="27" t="n">
        <v>0.01</v>
      </c>
      <c r="H35" s="22" t="s">
        <v>408</v>
      </c>
      <c r="I35" s="22" t="s">
        <v>409</v>
      </c>
      <c r="J35" s="1"/>
      <c r="K35" s="1"/>
      <c r="L35" s="1"/>
      <c r="M35" s="1"/>
      <c r="N35" s="28"/>
      <c r="O35" s="1"/>
    </row>
    <row r="36" customFormat="false" ht="15" hidden="false" customHeight="false" outlineLevel="0" collapsed="false">
      <c r="A36" s="22" t="s">
        <v>505</v>
      </c>
      <c r="B36" s="22" t="s">
        <v>506</v>
      </c>
      <c r="C36" s="22" t="s">
        <v>404</v>
      </c>
      <c r="D36" s="22" t="s">
        <v>405</v>
      </c>
      <c r="E36" s="22" t="s">
        <v>404</v>
      </c>
      <c r="F36" s="22" t="s">
        <v>507</v>
      </c>
      <c r="G36" s="27" t="n">
        <v>0.01</v>
      </c>
      <c r="H36" s="22" t="s">
        <v>408</v>
      </c>
      <c r="I36" s="22" t="s">
        <v>409</v>
      </c>
      <c r="J36" s="1"/>
      <c r="K36" s="1"/>
      <c r="L36" s="1"/>
      <c r="M36" s="1"/>
      <c r="N36" s="26"/>
      <c r="O36" s="1"/>
    </row>
    <row r="37" customFormat="false" ht="15" hidden="false" customHeight="false" outlineLevel="0" collapsed="false">
      <c r="A37" s="22" t="s">
        <v>508</v>
      </c>
      <c r="B37" s="22" t="s">
        <v>509</v>
      </c>
      <c r="C37" s="22" t="s">
        <v>404</v>
      </c>
      <c r="D37" s="22" t="s">
        <v>405</v>
      </c>
      <c r="E37" s="22" t="s">
        <v>404</v>
      </c>
      <c r="F37" s="22" t="s">
        <v>510</v>
      </c>
      <c r="G37" s="27" t="n">
        <v>0.01</v>
      </c>
      <c r="H37" s="22" t="s">
        <v>408</v>
      </c>
      <c r="I37" s="22" t="s">
        <v>409</v>
      </c>
      <c r="J37" s="1"/>
      <c r="K37" s="1"/>
      <c r="L37" s="1"/>
      <c r="M37" s="1"/>
      <c r="N37" s="28"/>
      <c r="O37" s="1"/>
    </row>
    <row r="38" customFormat="false" ht="15" hidden="false" customHeight="false" outlineLevel="0" collapsed="false">
      <c r="A38" s="22" t="s">
        <v>511</v>
      </c>
      <c r="B38" s="22" t="s">
        <v>512</v>
      </c>
      <c r="C38" s="22" t="s">
        <v>404</v>
      </c>
      <c r="D38" s="22" t="s">
        <v>405</v>
      </c>
      <c r="E38" s="22" t="s">
        <v>404</v>
      </c>
      <c r="F38" s="22" t="s">
        <v>513</v>
      </c>
      <c r="G38" s="27" t="n">
        <v>0.01</v>
      </c>
      <c r="H38" s="22" t="s">
        <v>408</v>
      </c>
      <c r="I38" s="22" t="s">
        <v>409</v>
      </c>
      <c r="J38" s="1"/>
      <c r="K38" s="1"/>
      <c r="L38" s="1"/>
      <c r="M38" s="1"/>
      <c r="N38" s="26"/>
      <c r="O38" s="1"/>
    </row>
    <row r="39" customFormat="false" ht="15" hidden="false" customHeight="false" outlineLevel="0" collapsed="false">
      <c r="A39" s="22" t="s">
        <v>514</v>
      </c>
      <c r="B39" s="22" t="s">
        <v>515</v>
      </c>
      <c r="C39" s="22" t="s">
        <v>404</v>
      </c>
      <c r="D39" s="22" t="s">
        <v>405</v>
      </c>
      <c r="E39" s="22" t="s">
        <v>404</v>
      </c>
      <c r="F39" s="22" t="s">
        <v>516</v>
      </c>
      <c r="G39" s="27" t="n">
        <v>0.01</v>
      </c>
      <c r="H39" s="22" t="s">
        <v>408</v>
      </c>
      <c r="I39" s="22" t="s">
        <v>409</v>
      </c>
      <c r="J39" s="1"/>
      <c r="K39" s="1"/>
      <c r="L39" s="1"/>
      <c r="M39" s="1"/>
      <c r="N39" s="28"/>
      <c r="O39" s="1"/>
    </row>
    <row r="40" customFormat="false" ht="15" hidden="false" customHeight="false" outlineLevel="0" collapsed="false">
      <c r="A40" s="22" t="s">
        <v>517</v>
      </c>
      <c r="B40" s="22" t="s">
        <v>518</v>
      </c>
      <c r="C40" s="22" t="s">
        <v>404</v>
      </c>
      <c r="D40" s="22" t="s">
        <v>405</v>
      </c>
      <c r="E40" s="22" t="s">
        <v>404</v>
      </c>
      <c r="F40" s="22" t="s">
        <v>519</v>
      </c>
      <c r="G40" s="27" t="n">
        <v>0.01</v>
      </c>
      <c r="H40" s="22" t="s">
        <v>408</v>
      </c>
      <c r="I40" s="22" t="s">
        <v>409</v>
      </c>
      <c r="J40" s="1"/>
      <c r="K40" s="1"/>
      <c r="L40" s="1"/>
      <c r="M40" s="1"/>
      <c r="N40" s="26"/>
      <c r="O40" s="1"/>
    </row>
    <row r="41" customFormat="false" ht="15" hidden="false" customHeight="false" outlineLevel="0" collapsed="false">
      <c r="A41" s="22" t="s">
        <v>520</v>
      </c>
      <c r="B41" s="22" t="s">
        <v>521</v>
      </c>
      <c r="C41" s="22" t="s">
        <v>404</v>
      </c>
      <c r="D41" s="22" t="s">
        <v>405</v>
      </c>
      <c r="E41" s="22" t="s">
        <v>404</v>
      </c>
      <c r="F41" s="22" t="s">
        <v>522</v>
      </c>
      <c r="G41" s="27" t="n">
        <v>0.01</v>
      </c>
      <c r="H41" s="22" t="s">
        <v>408</v>
      </c>
      <c r="I41" s="22" t="s">
        <v>409</v>
      </c>
      <c r="J41" s="1"/>
      <c r="K41" s="1"/>
      <c r="L41" s="1"/>
      <c r="M41" s="1"/>
      <c r="N41" s="28"/>
      <c r="O41" s="1"/>
    </row>
    <row r="42" customFormat="false" ht="15" hidden="false" customHeight="false" outlineLevel="0" collapsed="false">
      <c r="A42" s="22" t="s">
        <v>523</v>
      </c>
      <c r="B42" s="22" t="s">
        <v>524</v>
      </c>
      <c r="C42" s="22" t="s">
        <v>404</v>
      </c>
      <c r="D42" s="22" t="s">
        <v>405</v>
      </c>
      <c r="E42" s="22" t="s">
        <v>404</v>
      </c>
      <c r="F42" s="22" t="s">
        <v>525</v>
      </c>
      <c r="G42" s="27" t="n">
        <v>0.01</v>
      </c>
      <c r="H42" s="22" t="s">
        <v>408</v>
      </c>
      <c r="I42" s="22" t="s">
        <v>409</v>
      </c>
      <c r="J42" s="1"/>
      <c r="K42" s="1"/>
      <c r="L42" s="1"/>
      <c r="M42" s="1"/>
      <c r="N42" s="26"/>
      <c r="O42" s="1"/>
    </row>
    <row r="43" customFormat="false" ht="15" hidden="false" customHeight="false" outlineLevel="0" collapsed="false">
      <c r="A43" s="22" t="s">
        <v>526</v>
      </c>
      <c r="B43" s="22" t="s">
        <v>527</v>
      </c>
      <c r="C43" s="22" t="s">
        <v>404</v>
      </c>
      <c r="D43" s="22" t="s">
        <v>405</v>
      </c>
      <c r="E43" s="22" t="s">
        <v>404</v>
      </c>
      <c r="F43" s="22" t="s">
        <v>528</v>
      </c>
      <c r="G43" s="27" t="n">
        <v>0.01</v>
      </c>
      <c r="H43" s="22" t="s">
        <v>408</v>
      </c>
      <c r="I43" s="22" t="s">
        <v>409</v>
      </c>
      <c r="J43" s="1"/>
      <c r="K43" s="1"/>
      <c r="L43" s="1"/>
      <c r="M43" s="1"/>
      <c r="N43" s="28"/>
      <c r="O43" s="1"/>
    </row>
    <row r="44" customFormat="false" ht="15" hidden="false" customHeight="false" outlineLevel="0" collapsed="false">
      <c r="A44" s="22" t="s">
        <v>529</v>
      </c>
      <c r="B44" s="22" t="s">
        <v>530</v>
      </c>
      <c r="C44" s="22" t="s">
        <v>404</v>
      </c>
      <c r="D44" s="22" t="s">
        <v>405</v>
      </c>
      <c r="E44" s="22" t="s">
        <v>404</v>
      </c>
      <c r="F44" s="22" t="s">
        <v>531</v>
      </c>
      <c r="G44" s="27" t="n">
        <v>0.01</v>
      </c>
      <c r="H44" s="22" t="s">
        <v>408</v>
      </c>
      <c r="I44" s="22" t="s">
        <v>409</v>
      </c>
      <c r="J44" s="1"/>
      <c r="K44" s="1"/>
      <c r="L44" s="1"/>
      <c r="M44" s="1"/>
      <c r="N44" s="26"/>
      <c r="O44" s="1"/>
    </row>
    <row r="45" customFormat="false" ht="15" hidden="false" customHeight="false" outlineLevel="0" collapsed="false">
      <c r="A45" s="22" t="s">
        <v>532</v>
      </c>
      <c r="B45" s="22" t="s">
        <v>533</v>
      </c>
      <c r="C45" s="22" t="s">
        <v>404</v>
      </c>
      <c r="D45" s="22" t="s">
        <v>405</v>
      </c>
      <c r="E45" s="22" t="s">
        <v>404</v>
      </c>
      <c r="F45" s="22" t="s">
        <v>534</v>
      </c>
      <c r="G45" s="27" t="n">
        <v>0.01</v>
      </c>
      <c r="H45" s="22" t="s">
        <v>408</v>
      </c>
      <c r="I45" s="22" t="s">
        <v>409</v>
      </c>
      <c r="J45" s="1"/>
      <c r="K45" s="1"/>
      <c r="L45" s="1"/>
      <c r="M45" s="1"/>
      <c r="N45" s="28"/>
      <c r="O45" s="1"/>
    </row>
    <row r="46" customFormat="false" ht="15" hidden="false" customHeight="false" outlineLevel="0" collapsed="false">
      <c r="A46" s="22" t="s">
        <v>535</v>
      </c>
      <c r="B46" s="22" t="s">
        <v>536</v>
      </c>
      <c r="C46" s="22" t="s">
        <v>404</v>
      </c>
      <c r="D46" s="22" t="s">
        <v>405</v>
      </c>
      <c r="E46" s="22" t="s">
        <v>404</v>
      </c>
      <c r="F46" s="22" t="s">
        <v>537</v>
      </c>
      <c r="G46" s="27" t="n">
        <v>0.01</v>
      </c>
      <c r="H46" s="22" t="s">
        <v>408</v>
      </c>
      <c r="I46" s="22" t="s">
        <v>409</v>
      </c>
      <c r="J46" s="1"/>
      <c r="K46" s="1"/>
      <c r="L46" s="1"/>
      <c r="M46" s="1"/>
      <c r="N46" s="26"/>
      <c r="O46" s="1"/>
    </row>
    <row r="47" customFormat="false" ht="15" hidden="false" customHeight="false" outlineLevel="0" collapsed="false">
      <c r="A47" s="22" t="s">
        <v>538</v>
      </c>
      <c r="B47" s="22" t="s">
        <v>539</v>
      </c>
      <c r="C47" s="22" t="s">
        <v>404</v>
      </c>
      <c r="D47" s="22" t="s">
        <v>405</v>
      </c>
      <c r="E47" s="22" t="s">
        <v>404</v>
      </c>
      <c r="F47" s="22" t="s">
        <v>540</v>
      </c>
      <c r="G47" s="27" t="n">
        <v>0.01</v>
      </c>
      <c r="H47" s="22" t="s">
        <v>408</v>
      </c>
      <c r="I47" s="22" t="s">
        <v>409</v>
      </c>
      <c r="J47" s="1"/>
      <c r="K47" s="1"/>
      <c r="L47" s="1"/>
      <c r="M47" s="1"/>
      <c r="N47" s="28"/>
      <c r="O47" s="1"/>
    </row>
    <row r="48" customFormat="false" ht="15" hidden="false" customHeight="false" outlineLevel="0" collapsed="false">
      <c r="A48" s="22" t="s">
        <v>541</v>
      </c>
      <c r="B48" s="22" t="s">
        <v>542</v>
      </c>
      <c r="C48" s="22" t="s">
        <v>404</v>
      </c>
      <c r="D48" s="22" t="s">
        <v>405</v>
      </c>
      <c r="E48" s="22" t="s">
        <v>404</v>
      </c>
      <c r="F48" s="22" t="s">
        <v>543</v>
      </c>
      <c r="G48" s="27" t="n">
        <v>0.01</v>
      </c>
      <c r="H48" s="22" t="s">
        <v>408</v>
      </c>
      <c r="I48" s="22" t="s">
        <v>409</v>
      </c>
      <c r="J48" s="1"/>
      <c r="K48" s="1"/>
      <c r="L48" s="1"/>
      <c r="M48" s="1"/>
      <c r="N48" s="26"/>
      <c r="O48" s="1"/>
    </row>
    <row r="49" customFormat="false" ht="15" hidden="false" customHeight="false" outlineLevel="0" collapsed="false">
      <c r="A49" s="22" t="s">
        <v>544</v>
      </c>
      <c r="B49" s="22" t="s">
        <v>545</v>
      </c>
      <c r="C49" s="22" t="s">
        <v>404</v>
      </c>
      <c r="D49" s="22" t="s">
        <v>405</v>
      </c>
      <c r="E49" s="22" t="s">
        <v>404</v>
      </c>
      <c r="F49" s="22" t="s">
        <v>546</v>
      </c>
      <c r="G49" s="27" t="n">
        <v>0.01</v>
      </c>
      <c r="H49" s="22" t="s">
        <v>408</v>
      </c>
      <c r="I49" s="22" t="s">
        <v>409</v>
      </c>
      <c r="J49" s="1"/>
      <c r="K49" s="1"/>
      <c r="L49" s="1"/>
      <c r="M49" s="1"/>
      <c r="N49" s="28"/>
      <c r="O49" s="1"/>
    </row>
    <row r="50" customFormat="false" ht="15" hidden="false" customHeight="false" outlineLevel="0" collapsed="false">
      <c r="A50" s="22" t="s">
        <v>547</v>
      </c>
      <c r="B50" s="22" t="s">
        <v>548</v>
      </c>
      <c r="C50" s="22" t="s">
        <v>404</v>
      </c>
      <c r="D50" s="22" t="s">
        <v>405</v>
      </c>
      <c r="E50" s="22" t="s">
        <v>404</v>
      </c>
      <c r="F50" s="22" t="s">
        <v>549</v>
      </c>
      <c r="G50" s="27" t="n">
        <v>0.01</v>
      </c>
      <c r="H50" s="22" t="s">
        <v>408</v>
      </c>
      <c r="I50" s="22" t="s">
        <v>409</v>
      </c>
      <c r="J50" s="1"/>
      <c r="K50" s="1"/>
      <c r="L50" s="1"/>
      <c r="M50" s="1"/>
      <c r="N50" s="26"/>
      <c r="O50" s="1"/>
    </row>
    <row r="51" customFormat="false" ht="15" hidden="false" customHeight="false" outlineLevel="0" collapsed="false">
      <c r="A51" s="22" t="s">
        <v>550</v>
      </c>
      <c r="B51" s="22" t="s">
        <v>551</v>
      </c>
      <c r="C51" s="22" t="s">
        <v>404</v>
      </c>
      <c r="D51" s="22" t="s">
        <v>405</v>
      </c>
      <c r="E51" s="22" t="s">
        <v>404</v>
      </c>
      <c r="F51" s="22" t="s">
        <v>552</v>
      </c>
      <c r="G51" s="27" t="n">
        <v>0.01</v>
      </c>
      <c r="H51" s="22" t="s">
        <v>408</v>
      </c>
      <c r="I51" s="22" t="s">
        <v>409</v>
      </c>
      <c r="J51" s="1"/>
      <c r="K51" s="1"/>
      <c r="L51" s="1"/>
      <c r="M51" s="1"/>
      <c r="N51" s="28"/>
      <c r="O51" s="1"/>
    </row>
    <row r="52" customFormat="false" ht="15" hidden="false" customHeight="false" outlineLevel="0" collapsed="false">
      <c r="A52" s="22" t="s">
        <v>553</v>
      </c>
      <c r="B52" s="22" t="s">
        <v>554</v>
      </c>
      <c r="C52" s="22" t="s">
        <v>404</v>
      </c>
      <c r="D52" s="22" t="s">
        <v>405</v>
      </c>
      <c r="E52" s="22" t="s">
        <v>404</v>
      </c>
      <c r="F52" s="22" t="s">
        <v>555</v>
      </c>
      <c r="G52" s="27" t="n">
        <v>0.01</v>
      </c>
      <c r="H52" s="22" t="s">
        <v>408</v>
      </c>
      <c r="I52" s="22" t="s">
        <v>409</v>
      </c>
      <c r="J52" s="22" t="s">
        <v>556</v>
      </c>
      <c r="K52" s="1" t="s">
        <v>557</v>
      </c>
      <c r="L52" s="1"/>
      <c r="M52" s="1"/>
      <c r="N52" s="26"/>
      <c r="O52" s="1"/>
    </row>
    <row r="53" customFormat="false" ht="15" hidden="false" customHeight="false" outlineLevel="0" collapsed="false">
      <c r="A53" s="22" t="s">
        <v>558</v>
      </c>
      <c r="B53" s="22" t="s">
        <v>559</v>
      </c>
      <c r="C53" s="22" t="s">
        <v>404</v>
      </c>
      <c r="D53" s="22" t="s">
        <v>405</v>
      </c>
      <c r="E53" s="22" t="s">
        <v>404</v>
      </c>
      <c r="F53" s="22" t="s">
        <v>560</v>
      </c>
      <c r="G53" s="27" t="n">
        <v>0.01</v>
      </c>
      <c r="H53" s="22" t="s">
        <v>408</v>
      </c>
      <c r="I53" s="22" t="s">
        <v>409</v>
      </c>
      <c r="J53" s="1"/>
      <c r="K53" s="1"/>
      <c r="L53" s="1"/>
      <c r="M53" s="1"/>
      <c r="N53" s="28"/>
      <c r="O53" s="1"/>
    </row>
    <row r="54" customFormat="false" ht="15" hidden="false" customHeight="false" outlineLevel="0" collapsed="false">
      <c r="A54" s="22" t="s">
        <v>561</v>
      </c>
      <c r="B54" s="22" t="s">
        <v>562</v>
      </c>
      <c r="C54" s="22" t="s">
        <v>404</v>
      </c>
      <c r="D54" s="22" t="s">
        <v>405</v>
      </c>
      <c r="E54" s="22" t="s">
        <v>404</v>
      </c>
      <c r="F54" s="22" t="s">
        <v>563</v>
      </c>
      <c r="G54" s="27" t="n">
        <v>0.01</v>
      </c>
      <c r="H54" s="22" t="s">
        <v>408</v>
      </c>
      <c r="I54" s="22" t="s">
        <v>409</v>
      </c>
      <c r="J54" s="1"/>
      <c r="K54" s="1"/>
      <c r="L54" s="1"/>
      <c r="M54" s="1"/>
      <c r="N54" s="26"/>
      <c r="O54" s="1"/>
    </row>
    <row r="55" customFormat="false" ht="15" hidden="false" customHeight="false" outlineLevel="0" collapsed="false">
      <c r="A55" s="22" t="s">
        <v>564</v>
      </c>
      <c r="B55" s="22" t="s">
        <v>565</v>
      </c>
      <c r="C55" s="22" t="s">
        <v>404</v>
      </c>
      <c r="D55" s="22" t="s">
        <v>405</v>
      </c>
      <c r="E55" s="22" t="s">
        <v>404</v>
      </c>
      <c r="F55" s="22" t="s">
        <v>566</v>
      </c>
      <c r="G55" s="27" t="n">
        <v>0.01</v>
      </c>
      <c r="H55" s="22" t="s">
        <v>408</v>
      </c>
      <c r="I55" s="22" t="s">
        <v>409</v>
      </c>
      <c r="J55" s="1"/>
      <c r="K55" s="1"/>
      <c r="L55" s="1"/>
      <c r="M55" s="1"/>
      <c r="N55" s="28"/>
      <c r="O55" s="1"/>
    </row>
    <row r="56" customFormat="false" ht="15" hidden="false" customHeight="false" outlineLevel="0" collapsed="false">
      <c r="A56" s="22" t="s">
        <v>567</v>
      </c>
      <c r="B56" s="22" t="s">
        <v>568</v>
      </c>
      <c r="C56" s="22" t="s">
        <v>404</v>
      </c>
      <c r="D56" s="22" t="s">
        <v>405</v>
      </c>
      <c r="E56" s="22" t="s">
        <v>404</v>
      </c>
      <c r="F56" s="22" t="s">
        <v>569</v>
      </c>
      <c r="G56" s="27" t="n">
        <v>0.01</v>
      </c>
      <c r="H56" s="22" t="s">
        <v>408</v>
      </c>
      <c r="I56" s="22" t="s">
        <v>409</v>
      </c>
      <c r="J56" s="1"/>
      <c r="K56" s="1"/>
      <c r="L56" s="1"/>
      <c r="M56" s="1"/>
      <c r="N56" s="26"/>
      <c r="O56" s="1"/>
    </row>
    <row r="57" customFormat="false" ht="15" hidden="false" customHeight="false" outlineLevel="0" collapsed="false">
      <c r="A57" s="22" t="s">
        <v>570</v>
      </c>
      <c r="B57" s="22" t="s">
        <v>571</v>
      </c>
      <c r="C57" s="22" t="s">
        <v>404</v>
      </c>
      <c r="D57" s="22" t="s">
        <v>405</v>
      </c>
      <c r="E57" s="22" t="s">
        <v>404</v>
      </c>
      <c r="F57" s="22" t="s">
        <v>572</v>
      </c>
      <c r="G57" s="27" t="n">
        <v>0.01</v>
      </c>
      <c r="H57" s="22" t="s">
        <v>408</v>
      </c>
      <c r="I57" s="22" t="s">
        <v>409</v>
      </c>
      <c r="J57" s="1"/>
      <c r="K57" s="1"/>
      <c r="L57" s="1"/>
      <c r="M57" s="1"/>
      <c r="N57" s="28"/>
      <c r="O57" s="1"/>
    </row>
    <row r="58" customFormat="false" ht="15" hidden="false" customHeight="false" outlineLevel="0" collapsed="false">
      <c r="A58" s="22" t="s">
        <v>573</v>
      </c>
      <c r="B58" s="22" t="s">
        <v>574</v>
      </c>
      <c r="C58" s="22" t="s">
        <v>404</v>
      </c>
      <c r="D58" s="22" t="s">
        <v>405</v>
      </c>
      <c r="E58" s="22" t="s">
        <v>404</v>
      </c>
      <c r="F58" s="22" t="s">
        <v>575</v>
      </c>
      <c r="G58" s="27" t="n">
        <v>0.01</v>
      </c>
      <c r="H58" s="22" t="s">
        <v>408</v>
      </c>
      <c r="I58" s="22" t="s">
        <v>409</v>
      </c>
      <c r="J58" s="1" t="s">
        <v>576</v>
      </c>
      <c r="K58" s="1" t="s">
        <v>577</v>
      </c>
      <c r="L58" s="1"/>
      <c r="M58" s="1"/>
      <c r="N58" s="26"/>
      <c r="O58" s="1"/>
    </row>
    <row r="59" customFormat="false" ht="15" hidden="false" customHeight="false" outlineLevel="0" collapsed="false">
      <c r="A59" s="22" t="s">
        <v>578</v>
      </c>
      <c r="B59" s="22" t="s">
        <v>579</v>
      </c>
      <c r="C59" s="22" t="s">
        <v>404</v>
      </c>
      <c r="D59" s="22" t="s">
        <v>405</v>
      </c>
      <c r="E59" s="22" t="s">
        <v>404</v>
      </c>
      <c r="F59" s="22" t="s">
        <v>580</v>
      </c>
      <c r="G59" s="27" t="n">
        <v>0.01</v>
      </c>
      <c r="H59" s="22" t="s">
        <v>408</v>
      </c>
      <c r="I59" s="22" t="s">
        <v>409</v>
      </c>
      <c r="J59" s="1"/>
      <c r="K59" s="1"/>
      <c r="L59" s="1"/>
      <c r="M59" s="1"/>
      <c r="N59" s="28"/>
      <c r="O59" s="1"/>
    </row>
    <row r="60" customFormat="false" ht="15" hidden="false" customHeight="false" outlineLevel="0" collapsed="false">
      <c r="A60" s="22" t="s">
        <v>581</v>
      </c>
      <c r="B60" s="22" t="s">
        <v>582</v>
      </c>
      <c r="C60" s="22" t="s">
        <v>404</v>
      </c>
      <c r="D60" s="22" t="s">
        <v>405</v>
      </c>
      <c r="E60" s="22" t="s">
        <v>404</v>
      </c>
      <c r="F60" s="22" t="s">
        <v>583</v>
      </c>
      <c r="G60" s="27" t="n">
        <v>0.01</v>
      </c>
      <c r="H60" s="22" t="s">
        <v>408</v>
      </c>
      <c r="I60" s="22" t="s">
        <v>409</v>
      </c>
      <c r="J60" s="1" t="s">
        <v>576</v>
      </c>
      <c r="K60" s="1" t="s">
        <v>584</v>
      </c>
      <c r="L60" s="1"/>
      <c r="M60" s="1"/>
      <c r="N60" s="26"/>
      <c r="O60" s="1"/>
    </row>
    <row r="61" customFormat="false" ht="15" hidden="false" customHeight="false" outlineLevel="0" collapsed="false">
      <c r="A61" s="22" t="s">
        <v>585</v>
      </c>
      <c r="B61" s="22" t="s">
        <v>586</v>
      </c>
      <c r="C61" s="22" t="s">
        <v>404</v>
      </c>
      <c r="D61" s="22" t="s">
        <v>405</v>
      </c>
      <c r="E61" s="22" t="s">
        <v>404</v>
      </c>
      <c r="F61" s="22" t="s">
        <v>587</v>
      </c>
      <c r="G61" s="27" t="n">
        <v>0.01</v>
      </c>
      <c r="H61" s="22" t="s">
        <v>408</v>
      </c>
      <c r="I61" s="22" t="s">
        <v>409</v>
      </c>
      <c r="J61" s="1"/>
      <c r="K61" s="1"/>
      <c r="L61" s="1"/>
      <c r="M61" s="1"/>
      <c r="N61" s="28"/>
      <c r="O61" s="1"/>
    </row>
    <row r="62" customFormat="false" ht="15" hidden="false" customHeight="false" outlineLevel="0" collapsed="false">
      <c r="A62" s="22" t="s">
        <v>588</v>
      </c>
      <c r="B62" s="22" t="s">
        <v>589</v>
      </c>
      <c r="C62" s="22" t="s">
        <v>404</v>
      </c>
      <c r="D62" s="22" t="s">
        <v>405</v>
      </c>
      <c r="E62" s="22" t="s">
        <v>404</v>
      </c>
      <c r="F62" s="22" t="s">
        <v>590</v>
      </c>
      <c r="G62" s="27" t="n">
        <v>0.01</v>
      </c>
      <c r="H62" s="22" t="s">
        <v>408</v>
      </c>
      <c r="I62" s="22" t="s">
        <v>409</v>
      </c>
      <c r="J62" s="1"/>
      <c r="K62" s="1"/>
      <c r="L62" s="1"/>
      <c r="M62" s="1"/>
      <c r="N62" s="26"/>
      <c r="O62" s="1"/>
    </row>
    <row r="63" customFormat="false" ht="15" hidden="false" customHeight="false" outlineLevel="0" collapsed="false">
      <c r="A63" s="22" t="s">
        <v>591</v>
      </c>
      <c r="B63" s="22" t="s">
        <v>592</v>
      </c>
      <c r="C63" s="22" t="s">
        <v>404</v>
      </c>
      <c r="D63" s="22" t="s">
        <v>405</v>
      </c>
      <c r="E63" s="22" t="s">
        <v>404</v>
      </c>
      <c r="F63" s="22" t="s">
        <v>593</v>
      </c>
      <c r="G63" s="27" t="n">
        <v>0.01</v>
      </c>
      <c r="H63" s="22" t="s">
        <v>408</v>
      </c>
      <c r="I63" s="22" t="s">
        <v>409</v>
      </c>
      <c r="J63" s="1"/>
      <c r="K63" s="1"/>
      <c r="L63" s="1"/>
      <c r="M63" s="1"/>
      <c r="N63" s="28"/>
      <c r="O63" s="1"/>
    </row>
    <row r="64" customFormat="false" ht="15" hidden="false" customHeight="false" outlineLevel="0" collapsed="false">
      <c r="A64" s="22" t="s">
        <v>594</v>
      </c>
      <c r="B64" s="22" t="s">
        <v>595</v>
      </c>
      <c r="C64" s="22" t="s">
        <v>404</v>
      </c>
      <c r="D64" s="22" t="s">
        <v>405</v>
      </c>
      <c r="E64" s="22" t="s">
        <v>404</v>
      </c>
      <c r="F64" s="22" t="s">
        <v>596</v>
      </c>
      <c r="G64" s="27" t="n">
        <v>0.01</v>
      </c>
      <c r="H64" s="22" t="s">
        <v>408</v>
      </c>
      <c r="I64" s="22" t="s">
        <v>409</v>
      </c>
      <c r="J64" s="1"/>
      <c r="K64" s="1"/>
      <c r="L64" s="1"/>
      <c r="M64" s="1"/>
      <c r="N64" s="26"/>
      <c r="O64" s="1"/>
    </row>
    <row r="65" customFormat="false" ht="15" hidden="false" customHeight="false" outlineLevel="0" collapsed="false">
      <c r="A65" s="22" t="s">
        <v>597</v>
      </c>
      <c r="B65" s="22" t="s">
        <v>598</v>
      </c>
      <c r="C65" s="22" t="s">
        <v>404</v>
      </c>
      <c r="D65" s="22" t="s">
        <v>405</v>
      </c>
      <c r="E65" s="22" t="s">
        <v>404</v>
      </c>
      <c r="F65" s="22" t="s">
        <v>599</v>
      </c>
      <c r="G65" s="27" t="n">
        <v>0.01</v>
      </c>
      <c r="H65" s="22" t="s">
        <v>408</v>
      </c>
      <c r="I65" s="22" t="s">
        <v>409</v>
      </c>
      <c r="J65" s="1"/>
      <c r="K65" s="1"/>
      <c r="L65" s="1"/>
      <c r="M65" s="1"/>
      <c r="N65" s="28"/>
      <c r="O65" s="1"/>
    </row>
    <row r="66" customFormat="false" ht="15" hidden="false" customHeight="false" outlineLevel="0" collapsed="false">
      <c r="A66" s="22" t="s">
        <v>600</v>
      </c>
      <c r="B66" s="22" t="s">
        <v>601</v>
      </c>
      <c r="C66" s="22" t="s">
        <v>404</v>
      </c>
      <c r="D66" s="22" t="s">
        <v>405</v>
      </c>
      <c r="E66" s="22" t="s">
        <v>404</v>
      </c>
      <c r="F66" s="22" t="s">
        <v>602</v>
      </c>
      <c r="G66" s="27" t="n">
        <v>0.01</v>
      </c>
      <c r="H66" s="22" t="s">
        <v>408</v>
      </c>
      <c r="I66" s="22" t="s">
        <v>409</v>
      </c>
      <c r="J66" s="1" t="s">
        <v>576</v>
      </c>
      <c r="K66" s="1" t="s">
        <v>603</v>
      </c>
      <c r="L66" s="1"/>
      <c r="M66" s="1"/>
      <c r="N66" s="26"/>
      <c r="O66" s="1"/>
    </row>
    <row r="67" customFormat="false" ht="15" hidden="false" customHeight="false" outlineLevel="0" collapsed="false">
      <c r="A67" s="22" t="s">
        <v>604</v>
      </c>
      <c r="B67" s="22" t="s">
        <v>605</v>
      </c>
      <c r="C67" s="22" t="s">
        <v>404</v>
      </c>
      <c r="D67" s="22" t="s">
        <v>405</v>
      </c>
      <c r="E67" s="22" t="s">
        <v>404</v>
      </c>
      <c r="F67" s="22" t="s">
        <v>606</v>
      </c>
      <c r="G67" s="27" t="n">
        <v>0.01</v>
      </c>
      <c r="H67" s="22" t="s">
        <v>408</v>
      </c>
      <c r="I67" s="22" t="s">
        <v>409</v>
      </c>
      <c r="J67" s="22" t="s">
        <v>607</v>
      </c>
      <c r="K67" s="1" t="s">
        <v>608</v>
      </c>
      <c r="L67" s="1"/>
      <c r="M67" s="1"/>
      <c r="N67" s="28"/>
      <c r="O67" s="1"/>
    </row>
    <row r="68" customFormat="false" ht="15" hidden="false" customHeight="false" outlineLevel="0" collapsed="false">
      <c r="A68" s="22" t="s">
        <v>609</v>
      </c>
      <c r="B68" s="22" t="s">
        <v>610</v>
      </c>
      <c r="C68" s="22" t="s">
        <v>404</v>
      </c>
      <c r="D68" s="22" t="s">
        <v>405</v>
      </c>
      <c r="E68" s="22" t="s">
        <v>404</v>
      </c>
      <c r="F68" s="22" t="s">
        <v>611</v>
      </c>
      <c r="G68" s="27" t="n">
        <v>0.01</v>
      </c>
      <c r="H68" s="22" t="s">
        <v>408</v>
      </c>
      <c r="I68" s="22" t="s">
        <v>409</v>
      </c>
      <c r="J68" s="1"/>
      <c r="K68" s="1"/>
      <c r="L68" s="1"/>
      <c r="M68" s="1"/>
      <c r="N68" s="26"/>
      <c r="O68" s="1"/>
    </row>
    <row r="69" customFormat="false" ht="15" hidden="false" customHeight="false" outlineLevel="0" collapsed="false">
      <c r="A69" s="22" t="s">
        <v>612</v>
      </c>
      <c r="B69" s="22" t="s">
        <v>613</v>
      </c>
      <c r="C69" s="22" t="s">
        <v>404</v>
      </c>
      <c r="D69" s="22" t="s">
        <v>405</v>
      </c>
      <c r="E69" s="22" t="s">
        <v>404</v>
      </c>
      <c r="F69" s="22" t="s">
        <v>614</v>
      </c>
      <c r="G69" s="27" t="n">
        <v>0.01</v>
      </c>
      <c r="H69" s="22" t="s">
        <v>408</v>
      </c>
      <c r="I69" s="22" t="s">
        <v>409</v>
      </c>
      <c r="J69" s="1"/>
      <c r="K69" s="1"/>
      <c r="L69" s="1"/>
      <c r="M69" s="1"/>
      <c r="N69" s="28"/>
      <c r="O69" s="1"/>
    </row>
    <row r="70" customFormat="false" ht="15" hidden="false" customHeight="false" outlineLevel="0" collapsed="false">
      <c r="A70" s="22" t="s">
        <v>615</v>
      </c>
      <c r="B70" s="22" t="s">
        <v>616</v>
      </c>
      <c r="C70" s="22" t="s">
        <v>404</v>
      </c>
      <c r="D70" s="22" t="s">
        <v>405</v>
      </c>
      <c r="E70" s="22" t="s">
        <v>404</v>
      </c>
      <c r="F70" s="22" t="s">
        <v>617</v>
      </c>
      <c r="G70" s="27" t="n">
        <v>0.01</v>
      </c>
      <c r="H70" s="22" t="s">
        <v>408</v>
      </c>
      <c r="I70" s="22" t="s">
        <v>409</v>
      </c>
      <c r="J70" s="1"/>
      <c r="K70" s="1"/>
      <c r="L70" s="1"/>
      <c r="M70" s="1"/>
      <c r="N70" s="26"/>
      <c r="O70" s="1"/>
    </row>
    <row r="71" customFormat="false" ht="15" hidden="false" customHeight="false" outlineLevel="0" collapsed="false">
      <c r="A71" s="22" t="s">
        <v>618</v>
      </c>
      <c r="B71" s="22" t="s">
        <v>619</v>
      </c>
      <c r="C71" s="22" t="s">
        <v>404</v>
      </c>
      <c r="D71" s="22" t="s">
        <v>405</v>
      </c>
      <c r="E71" s="22" t="s">
        <v>404</v>
      </c>
      <c r="F71" s="22" t="s">
        <v>620</v>
      </c>
      <c r="G71" s="27" t="n">
        <v>0.01</v>
      </c>
      <c r="H71" s="22" t="s">
        <v>408</v>
      </c>
      <c r="I71" s="22" t="s">
        <v>409</v>
      </c>
      <c r="J71" s="1"/>
      <c r="K71" s="1"/>
      <c r="L71" s="1"/>
      <c r="M71" s="1"/>
      <c r="N71" s="28"/>
      <c r="O71" s="1"/>
    </row>
    <row r="72" customFormat="false" ht="15" hidden="false" customHeight="false" outlineLevel="0" collapsed="false">
      <c r="A72" s="22" t="s">
        <v>621</v>
      </c>
      <c r="B72" s="22" t="s">
        <v>622</v>
      </c>
      <c r="C72" s="22" t="s">
        <v>404</v>
      </c>
      <c r="D72" s="22" t="s">
        <v>405</v>
      </c>
      <c r="E72" s="22" t="s">
        <v>404</v>
      </c>
      <c r="F72" s="22" t="s">
        <v>623</v>
      </c>
      <c r="G72" s="27" t="n">
        <v>0.01</v>
      </c>
      <c r="H72" s="22" t="s">
        <v>408</v>
      </c>
      <c r="I72" s="22" t="s">
        <v>409</v>
      </c>
      <c r="J72" s="1"/>
      <c r="K72" s="1"/>
      <c r="L72" s="1"/>
      <c r="M72" s="1"/>
      <c r="N72" s="26"/>
      <c r="O72" s="1"/>
    </row>
    <row r="73" customFormat="false" ht="15" hidden="false" customHeight="false" outlineLevel="0" collapsed="false">
      <c r="A73" s="22" t="s">
        <v>624</v>
      </c>
      <c r="B73" s="22" t="s">
        <v>625</v>
      </c>
      <c r="C73" s="22" t="s">
        <v>404</v>
      </c>
      <c r="D73" s="22" t="s">
        <v>405</v>
      </c>
      <c r="E73" s="22" t="s">
        <v>404</v>
      </c>
      <c r="F73" s="22" t="s">
        <v>626</v>
      </c>
      <c r="G73" s="27" t="n">
        <v>0.01</v>
      </c>
      <c r="H73" s="22" t="s">
        <v>408</v>
      </c>
      <c r="I73" s="22" t="s">
        <v>409</v>
      </c>
      <c r="J73" s="1"/>
      <c r="K73" s="1"/>
      <c r="L73" s="1"/>
      <c r="M73" s="1"/>
      <c r="N73" s="28"/>
      <c r="O73" s="1"/>
    </row>
    <row r="74" customFormat="false" ht="15" hidden="false" customHeight="false" outlineLevel="0" collapsed="false">
      <c r="A74" s="22" t="s">
        <v>627</v>
      </c>
      <c r="B74" s="22" t="s">
        <v>628</v>
      </c>
      <c r="C74" s="22" t="s">
        <v>404</v>
      </c>
      <c r="D74" s="22" t="s">
        <v>405</v>
      </c>
      <c r="E74" s="22" t="s">
        <v>404</v>
      </c>
      <c r="F74" s="22" t="s">
        <v>629</v>
      </c>
      <c r="G74" s="27" t="n">
        <v>0.01</v>
      </c>
      <c r="H74" s="22" t="s">
        <v>408</v>
      </c>
      <c r="I74" s="22" t="s">
        <v>409</v>
      </c>
      <c r="J74" s="22" t="s">
        <v>576</v>
      </c>
      <c r="K74" s="1" t="s">
        <v>630</v>
      </c>
      <c r="L74" s="1"/>
      <c r="M74" s="1"/>
      <c r="N74" s="26"/>
      <c r="O74" s="1"/>
    </row>
    <row r="75" customFormat="false" ht="15" hidden="false" customHeight="false" outlineLevel="0" collapsed="false">
      <c r="A75" s="22" t="s">
        <v>631</v>
      </c>
      <c r="B75" s="22" t="s">
        <v>632</v>
      </c>
      <c r="C75" s="22" t="s">
        <v>404</v>
      </c>
      <c r="D75" s="22" t="s">
        <v>405</v>
      </c>
      <c r="E75" s="22" t="s">
        <v>404</v>
      </c>
      <c r="F75" s="22" t="s">
        <v>633</v>
      </c>
      <c r="G75" s="27" t="n">
        <v>0.01</v>
      </c>
      <c r="H75" s="22" t="s">
        <v>408</v>
      </c>
      <c r="I75" s="22" t="s">
        <v>409</v>
      </c>
      <c r="J75" s="1"/>
      <c r="K75" s="1"/>
      <c r="L75" s="1"/>
      <c r="M75" s="1"/>
      <c r="N75" s="28"/>
      <c r="O75" s="1"/>
    </row>
    <row r="76" customFormat="false" ht="15" hidden="false" customHeight="false" outlineLevel="0" collapsed="false">
      <c r="A76" s="22" t="s">
        <v>634</v>
      </c>
      <c r="B76" s="22" t="s">
        <v>635</v>
      </c>
      <c r="C76" s="22" t="s">
        <v>404</v>
      </c>
      <c r="D76" s="22" t="s">
        <v>405</v>
      </c>
      <c r="E76" s="22" t="s">
        <v>404</v>
      </c>
      <c r="F76" s="22" t="s">
        <v>636</v>
      </c>
      <c r="G76" s="27" t="n">
        <v>0.01</v>
      </c>
      <c r="H76" s="22" t="s">
        <v>408</v>
      </c>
      <c r="I76" s="22" t="s">
        <v>409</v>
      </c>
      <c r="J76" s="1"/>
      <c r="K76" s="1"/>
      <c r="L76" s="1"/>
      <c r="M76" s="1"/>
      <c r="N76" s="26"/>
      <c r="O76" s="1"/>
    </row>
    <row r="77" customFormat="false" ht="15" hidden="false" customHeight="true" outlineLevel="0" collapsed="false">
      <c r="A77" s="22" t="s">
        <v>637</v>
      </c>
      <c r="B77" s="22" t="s">
        <v>638</v>
      </c>
      <c r="C77" s="22" t="s">
        <v>404</v>
      </c>
      <c r="D77" s="22" t="s">
        <v>405</v>
      </c>
      <c r="E77" s="22" t="s">
        <v>404</v>
      </c>
      <c r="F77" s="22" t="s">
        <v>639</v>
      </c>
      <c r="G77" s="27" t="n">
        <v>0.01</v>
      </c>
      <c r="H77" s="22" t="s">
        <v>408</v>
      </c>
      <c r="I77" s="22" t="s">
        <v>409</v>
      </c>
      <c r="J77" s="1"/>
      <c r="K77" s="1"/>
      <c r="L77" s="1"/>
      <c r="M77" s="1"/>
      <c r="N77" s="28"/>
      <c r="O77" s="1"/>
    </row>
    <row r="78" customFormat="false" ht="15" hidden="false" customHeight="false" outlineLevel="0" collapsed="false">
      <c r="A78" s="22" t="s">
        <v>640</v>
      </c>
      <c r="B78" s="22" t="s">
        <v>641</v>
      </c>
      <c r="C78" s="22" t="s">
        <v>404</v>
      </c>
      <c r="D78" s="22" t="s">
        <v>405</v>
      </c>
      <c r="E78" s="22" t="s">
        <v>404</v>
      </c>
      <c r="F78" s="22" t="s">
        <v>642</v>
      </c>
      <c r="G78" s="27" t="n">
        <v>0.01</v>
      </c>
      <c r="H78" s="22" t="s">
        <v>408</v>
      </c>
      <c r="I78" s="22" t="s">
        <v>409</v>
      </c>
      <c r="J78" s="1"/>
      <c r="K78" s="1"/>
      <c r="L78" s="1"/>
      <c r="M78" s="1"/>
      <c r="N78" s="26"/>
      <c r="O78" s="1"/>
    </row>
    <row r="79" customFormat="false" ht="15" hidden="false" customHeight="false" outlineLevel="0" collapsed="false">
      <c r="A79" s="22" t="s">
        <v>643</v>
      </c>
      <c r="B79" s="22" t="s">
        <v>644</v>
      </c>
      <c r="C79" s="22" t="s">
        <v>404</v>
      </c>
      <c r="D79" s="22" t="s">
        <v>405</v>
      </c>
      <c r="E79" s="22" t="s">
        <v>404</v>
      </c>
      <c r="F79" s="22" t="s">
        <v>645</v>
      </c>
      <c r="G79" s="27" t="n">
        <v>0.01</v>
      </c>
      <c r="H79" s="22" t="s">
        <v>408</v>
      </c>
      <c r="I79" s="22" t="s">
        <v>409</v>
      </c>
      <c r="J79" s="1"/>
      <c r="K79" s="1"/>
      <c r="L79" s="1"/>
      <c r="M79" s="1"/>
      <c r="N79" s="28"/>
      <c r="O79" s="1"/>
    </row>
    <row r="80" customFormat="false" ht="15" hidden="false" customHeight="false" outlineLevel="0" collapsed="false">
      <c r="A80" s="22" t="s">
        <v>646</v>
      </c>
      <c r="B80" s="22" t="s">
        <v>647</v>
      </c>
      <c r="C80" s="22" t="s">
        <v>404</v>
      </c>
      <c r="D80" s="22" t="s">
        <v>405</v>
      </c>
      <c r="E80" s="22" t="s">
        <v>404</v>
      </c>
      <c r="F80" s="22" t="s">
        <v>648</v>
      </c>
      <c r="G80" s="27" t="n">
        <v>0.01</v>
      </c>
      <c r="H80" s="22" t="s">
        <v>408</v>
      </c>
      <c r="I80" s="22" t="s">
        <v>409</v>
      </c>
      <c r="J80" s="22" t="s">
        <v>607</v>
      </c>
      <c r="K80" s="1" t="s">
        <v>608</v>
      </c>
      <c r="L80" s="1"/>
      <c r="M80" s="1"/>
      <c r="N80" s="26"/>
      <c r="O80" s="1"/>
    </row>
    <row r="81" customFormat="false" ht="15" hidden="false" customHeight="false" outlineLevel="0" collapsed="false">
      <c r="A81" s="22" t="s">
        <v>649</v>
      </c>
      <c r="B81" s="22" t="s">
        <v>650</v>
      </c>
      <c r="C81" s="22" t="s">
        <v>404</v>
      </c>
      <c r="D81" s="22" t="s">
        <v>405</v>
      </c>
      <c r="E81" s="22" t="s">
        <v>404</v>
      </c>
      <c r="F81" s="22" t="s">
        <v>651</v>
      </c>
      <c r="G81" s="27" t="n">
        <v>0.01</v>
      </c>
      <c r="H81" s="22" t="s">
        <v>408</v>
      </c>
      <c r="I81" s="22" t="s">
        <v>409</v>
      </c>
      <c r="J81" s="1"/>
      <c r="K81" s="1"/>
      <c r="L81" s="1"/>
      <c r="M81" s="1"/>
      <c r="N81" s="28"/>
      <c r="O81" s="1"/>
    </row>
    <row r="82" customFormat="false" ht="15" hidden="false" customHeight="false" outlineLevel="0" collapsed="false">
      <c r="A82" s="22" t="s">
        <v>652</v>
      </c>
      <c r="B82" s="22" t="s">
        <v>653</v>
      </c>
      <c r="C82" s="22" t="s">
        <v>404</v>
      </c>
      <c r="D82" s="22" t="s">
        <v>405</v>
      </c>
      <c r="E82" s="22" t="s">
        <v>404</v>
      </c>
      <c r="F82" s="22" t="s">
        <v>654</v>
      </c>
      <c r="G82" s="27" t="n">
        <v>0.01</v>
      </c>
      <c r="H82" s="22" t="s">
        <v>408</v>
      </c>
      <c r="I82" s="22" t="s">
        <v>409</v>
      </c>
      <c r="J82" s="1" t="s">
        <v>576</v>
      </c>
      <c r="K82" s="1" t="s">
        <v>655</v>
      </c>
      <c r="L82" s="1"/>
      <c r="M82" s="1"/>
      <c r="N82" s="26"/>
      <c r="O82" s="1"/>
    </row>
    <row r="83" customFormat="false" ht="15" hidden="false" customHeight="false" outlineLevel="0" collapsed="false">
      <c r="A83" s="22" t="s">
        <v>656</v>
      </c>
      <c r="B83" s="22" t="s">
        <v>657</v>
      </c>
      <c r="C83" s="22" t="s">
        <v>404</v>
      </c>
      <c r="D83" s="22" t="s">
        <v>405</v>
      </c>
      <c r="E83" s="22" t="s">
        <v>404</v>
      </c>
      <c r="F83" s="22" t="s">
        <v>658</v>
      </c>
      <c r="G83" s="27" t="n">
        <v>0.01</v>
      </c>
      <c r="H83" s="22" t="s">
        <v>408</v>
      </c>
      <c r="I83" s="22" t="s">
        <v>409</v>
      </c>
      <c r="J83" s="1"/>
      <c r="K83" s="1"/>
      <c r="L83" s="1"/>
      <c r="M83" s="1"/>
      <c r="N83" s="28"/>
      <c r="O83" s="1"/>
    </row>
    <row r="84" customFormat="false" ht="15" hidden="false" customHeight="false" outlineLevel="0" collapsed="false">
      <c r="A84" s="22" t="s">
        <v>659</v>
      </c>
      <c r="B84" s="22" t="s">
        <v>660</v>
      </c>
      <c r="C84" s="22" t="s">
        <v>404</v>
      </c>
      <c r="D84" s="22" t="s">
        <v>405</v>
      </c>
      <c r="E84" s="22" t="s">
        <v>404</v>
      </c>
      <c r="F84" s="22" t="s">
        <v>661</v>
      </c>
      <c r="G84" s="27" t="n">
        <v>0.01</v>
      </c>
      <c r="H84" s="22" t="s">
        <v>408</v>
      </c>
      <c r="I84" s="22" t="s">
        <v>409</v>
      </c>
      <c r="J84" s="1"/>
      <c r="K84" s="1"/>
      <c r="L84" s="1"/>
      <c r="M84" s="1"/>
      <c r="N84" s="26"/>
      <c r="O84" s="1"/>
    </row>
    <row r="85" customFormat="false" ht="15" hidden="false" customHeight="false" outlineLevel="0" collapsed="false">
      <c r="A85" s="22" t="s">
        <v>662</v>
      </c>
      <c r="B85" s="22" t="s">
        <v>663</v>
      </c>
      <c r="C85" s="22" t="s">
        <v>404</v>
      </c>
      <c r="D85" s="22" t="s">
        <v>405</v>
      </c>
      <c r="E85" s="22" t="s">
        <v>404</v>
      </c>
      <c r="F85" s="22" t="s">
        <v>664</v>
      </c>
      <c r="G85" s="27" t="n">
        <v>0.01</v>
      </c>
      <c r="H85" s="22" t="s">
        <v>408</v>
      </c>
      <c r="I85" s="22" t="s">
        <v>409</v>
      </c>
      <c r="J85" s="1"/>
      <c r="K85" s="1"/>
      <c r="L85" s="1"/>
      <c r="M85" s="1"/>
      <c r="N85" s="28"/>
      <c r="O85" s="1"/>
    </row>
    <row r="86" customFormat="false" ht="15" hidden="false" customHeight="false" outlineLevel="0" collapsed="false">
      <c r="A86" s="22" t="s">
        <v>665</v>
      </c>
      <c r="B86" s="22" t="s">
        <v>666</v>
      </c>
      <c r="C86" s="22" t="s">
        <v>404</v>
      </c>
      <c r="D86" s="22" t="s">
        <v>405</v>
      </c>
      <c r="E86" s="22" t="s">
        <v>404</v>
      </c>
      <c r="F86" s="22" t="s">
        <v>667</v>
      </c>
      <c r="G86" s="27" t="n">
        <v>0.01</v>
      </c>
      <c r="H86" s="22" t="s">
        <v>408</v>
      </c>
      <c r="I86" s="22" t="s">
        <v>409</v>
      </c>
      <c r="J86" s="22" t="s">
        <v>607</v>
      </c>
      <c r="K86" s="1" t="s">
        <v>608</v>
      </c>
      <c r="L86" s="1"/>
      <c r="M86" s="1"/>
      <c r="N86" s="26"/>
      <c r="O86" s="1"/>
    </row>
    <row r="87" customFormat="false" ht="15" hidden="false" customHeight="false" outlineLevel="0" collapsed="false">
      <c r="A87" s="22" t="s">
        <v>668</v>
      </c>
      <c r="B87" s="22" t="s">
        <v>669</v>
      </c>
      <c r="C87" s="22" t="s">
        <v>404</v>
      </c>
      <c r="D87" s="22" t="s">
        <v>405</v>
      </c>
      <c r="E87" s="22" t="s">
        <v>404</v>
      </c>
      <c r="F87" s="22" t="s">
        <v>670</v>
      </c>
      <c r="G87" s="27" t="n">
        <v>0.01</v>
      </c>
      <c r="H87" s="22" t="s">
        <v>408</v>
      </c>
      <c r="I87" s="22" t="s">
        <v>409</v>
      </c>
      <c r="J87" s="22" t="s">
        <v>671</v>
      </c>
      <c r="K87" s="1" t="s">
        <v>672</v>
      </c>
      <c r="L87" s="1"/>
      <c r="M87" s="1"/>
      <c r="N87" s="28"/>
      <c r="O87" s="1"/>
    </row>
    <row r="88" customFormat="false" ht="15" hidden="false" customHeight="false" outlineLevel="0" collapsed="false">
      <c r="A88" s="22" t="s">
        <v>673</v>
      </c>
      <c r="B88" s="22" t="s">
        <v>674</v>
      </c>
      <c r="C88" s="22" t="s">
        <v>404</v>
      </c>
      <c r="D88" s="22" t="s">
        <v>405</v>
      </c>
      <c r="E88" s="22" t="s">
        <v>404</v>
      </c>
      <c r="F88" s="22" t="s">
        <v>675</v>
      </c>
      <c r="G88" s="27" t="n">
        <v>0.01</v>
      </c>
      <c r="H88" s="22" t="s">
        <v>408</v>
      </c>
      <c r="I88" s="22" t="s">
        <v>409</v>
      </c>
      <c r="J88" s="1"/>
      <c r="K88" s="1"/>
      <c r="L88" s="1"/>
      <c r="M88" s="1"/>
      <c r="N88" s="26"/>
      <c r="O88" s="1"/>
    </row>
    <row r="89" customFormat="false" ht="15" hidden="false" customHeight="false" outlineLevel="0" collapsed="false">
      <c r="A89" s="22" t="s">
        <v>676</v>
      </c>
      <c r="B89" s="22" t="s">
        <v>677</v>
      </c>
      <c r="C89" s="22" t="s">
        <v>404</v>
      </c>
      <c r="D89" s="22" t="s">
        <v>405</v>
      </c>
      <c r="E89" s="22" t="s">
        <v>404</v>
      </c>
      <c r="F89" s="22" t="s">
        <v>678</v>
      </c>
      <c r="G89" s="27" t="n">
        <v>0.01</v>
      </c>
      <c r="H89" s="22" t="s">
        <v>408</v>
      </c>
      <c r="I89" s="22" t="s">
        <v>409</v>
      </c>
      <c r="J89" s="1"/>
      <c r="K89" s="1"/>
      <c r="L89" s="1"/>
      <c r="M89" s="1"/>
      <c r="N89" s="28"/>
      <c r="O89" s="1"/>
    </row>
    <row r="90" customFormat="false" ht="15" hidden="false" customHeight="false" outlineLevel="0" collapsed="false">
      <c r="A90" s="22" t="s">
        <v>679</v>
      </c>
      <c r="B90" s="22" t="s">
        <v>680</v>
      </c>
      <c r="C90" s="22" t="s">
        <v>404</v>
      </c>
      <c r="D90" s="22" t="s">
        <v>405</v>
      </c>
      <c r="E90" s="22" t="s">
        <v>404</v>
      </c>
      <c r="F90" s="22" t="s">
        <v>681</v>
      </c>
      <c r="G90" s="27" t="n">
        <v>0.01</v>
      </c>
      <c r="H90" s="22" t="s">
        <v>408</v>
      </c>
      <c r="I90" s="22" t="s">
        <v>409</v>
      </c>
      <c r="J90" s="1"/>
      <c r="K90" s="1"/>
      <c r="L90" s="1"/>
      <c r="M90" s="1"/>
      <c r="N90" s="26"/>
      <c r="O90" s="1"/>
    </row>
    <row r="91" customFormat="false" ht="15" hidden="false" customHeight="false" outlineLevel="0" collapsed="false">
      <c r="A91" s="22" t="s">
        <v>682</v>
      </c>
      <c r="B91" s="22" t="s">
        <v>683</v>
      </c>
      <c r="C91" s="22" t="s">
        <v>404</v>
      </c>
      <c r="D91" s="22" t="s">
        <v>405</v>
      </c>
      <c r="E91" s="22" t="s">
        <v>404</v>
      </c>
      <c r="F91" s="22" t="s">
        <v>684</v>
      </c>
      <c r="G91" s="27" t="n">
        <v>0.01</v>
      </c>
      <c r="H91" s="22" t="s">
        <v>408</v>
      </c>
      <c r="I91" s="22" t="s">
        <v>409</v>
      </c>
      <c r="J91" s="1" t="s">
        <v>576</v>
      </c>
      <c r="K91" s="1" t="s">
        <v>685</v>
      </c>
      <c r="L91" s="1"/>
      <c r="M91" s="1"/>
      <c r="N91" s="28"/>
      <c r="O91" s="1"/>
    </row>
    <row r="92" customFormat="false" ht="15" hidden="false" customHeight="false" outlineLevel="0" collapsed="false">
      <c r="A92" s="22" t="s">
        <v>686</v>
      </c>
      <c r="B92" s="22" t="s">
        <v>687</v>
      </c>
      <c r="C92" s="22" t="s">
        <v>404</v>
      </c>
      <c r="D92" s="22" t="s">
        <v>405</v>
      </c>
      <c r="E92" s="22" t="s">
        <v>404</v>
      </c>
      <c r="F92" s="22" t="s">
        <v>688</v>
      </c>
      <c r="G92" s="27" t="n">
        <v>0.01</v>
      </c>
      <c r="H92" s="22" t="s">
        <v>408</v>
      </c>
      <c r="I92" s="22" t="s">
        <v>409</v>
      </c>
      <c r="J92" s="1"/>
      <c r="K92" s="1"/>
      <c r="L92" s="1"/>
      <c r="M92" s="1"/>
      <c r="N92" s="26"/>
      <c r="O92" s="1"/>
    </row>
    <row r="93" customFormat="false" ht="15" hidden="false" customHeight="false" outlineLevel="0" collapsed="false">
      <c r="A93" s="22" t="s">
        <v>689</v>
      </c>
      <c r="B93" s="22" t="s">
        <v>690</v>
      </c>
      <c r="C93" s="22" t="s">
        <v>404</v>
      </c>
      <c r="D93" s="22" t="s">
        <v>405</v>
      </c>
      <c r="E93" s="22" t="s">
        <v>404</v>
      </c>
      <c r="F93" s="22" t="s">
        <v>691</v>
      </c>
      <c r="G93" s="27" t="n">
        <v>0.01</v>
      </c>
      <c r="H93" s="22" t="s">
        <v>408</v>
      </c>
      <c r="I93" s="22" t="s">
        <v>409</v>
      </c>
      <c r="J93" s="1"/>
      <c r="K93" s="1"/>
      <c r="L93" s="1"/>
      <c r="M93" s="1"/>
      <c r="N93" s="28"/>
      <c r="O93" s="1"/>
    </row>
    <row r="94" customFormat="false" ht="15" hidden="false" customHeight="false" outlineLevel="0" collapsed="false">
      <c r="A94" s="22" t="s">
        <v>692</v>
      </c>
      <c r="B94" s="22" t="s">
        <v>693</v>
      </c>
      <c r="C94" s="22" t="s">
        <v>404</v>
      </c>
      <c r="D94" s="22" t="s">
        <v>405</v>
      </c>
      <c r="E94" s="22" t="s">
        <v>404</v>
      </c>
      <c r="F94" s="22" t="s">
        <v>694</v>
      </c>
      <c r="G94" s="27" t="n">
        <v>0.01</v>
      </c>
      <c r="H94" s="22" t="s">
        <v>408</v>
      </c>
      <c r="I94" s="22" t="s">
        <v>409</v>
      </c>
      <c r="J94" s="1"/>
      <c r="K94" s="1"/>
      <c r="L94" s="1"/>
      <c r="M94" s="1"/>
      <c r="N94" s="26"/>
      <c r="O94" s="1"/>
    </row>
    <row r="95" customFormat="false" ht="15" hidden="false" customHeight="false" outlineLevel="0" collapsed="false">
      <c r="A95" s="22" t="s">
        <v>695</v>
      </c>
      <c r="B95" s="22" t="s">
        <v>696</v>
      </c>
      <c r="C95" s="22" t="s">
        <v>404</v>
      </c>
      <c r="D95" s="22" t="s">
        <v>405</v>
      </c>
      <c r="E95" s="22" t="s">
        <v>404</v>
      </c>
      <c r="F95" s="22" t="s">
        <v>697</v>
      </c>
      <c r="G95" s="27" t="n">
        <v>0.01</v>
      </c>
      <c r="H95" s="22" t="s">
        <v>408</v>
      </c>
      <c r="I95" s="22" t="s">
        <v>409</v>
      </c>
      <c r="J95" s="1"/>
      <c r="K95" s="1"/>
      <c r="L95" s="1"/>
      <c r="M95" s="1"/>
      <c r="N95" s="28"/>
      <c r="O95" s="1"/>
    </row>
    <row r="96" customFormat="false" ht="15" hidden="false" customHeight="false" outlineLevel="0" collapsed="false">
      <c r="A96" s="22" t="s">
        <v>698</v>
      </c>
      <c r="B96" s="22" t="s">
        <v>699</v>
      </c>
      <c r="C96" s="22" t="s">
        <v>404</v>
      </c>
      <c r="D96" s="22" t="s">
        <v>405</v>
      </c>
      <c r="E96" s="22" t="s">
        <v>404</v>
      </c>
      <c r="F96" s="22" t="s">
        <v>700</v>
      </c>
      <c r="G96" s="27" t="n">
        <v>0.01</v>
      </c>
      <c r="H96" s="22" t="s">
        <v>408</v>
      </c>
      <c r="I96" s="22" t="s">
        <v>409</v>
      </c>
      <c r="J96" s="1"/>
      <c r="K96" s="1"/>
      <c r="L96" s="1"/>
      <c r="M96" s="1"/>
      <c r="N96" s="26"/>
      <c r="O96" s="1"/>
    </row>
    <row r="97" customFormat="false" ht="15" hidden="false" customHeight="false" outlineLevel="0" collapsed="false">
      <c r="A97" s="22" t="s">
        <v>701</v>
      </c>
      <c r="B97" s="22" t="s">
        <v>702</v>
      </c>
      <c r="C97" s="22" t="s">
        <v>404</v>
      </c>
      <c r="D97" s="22" t="s">
        <v>405</v>
      </c>
      <c r="E97" s="22" t="s">
        <v>404</v>
      </c>
      <c r="F97" s="22" t="s">
        <v>703</v>
      </c>
      <c r="G97" s="27" t="n">
        <v>0.01</v>
      </c>
      <c r="H97" s="22" t="s">
        <v>408</v>
      </c>
      <c r="I97" s="22" t="s">
        <v>409</v>
      </c>
      <c r="J97" s="1"/>
      <c r="K97" s="1"/>
      <c r="L97" s="1"/>
      <c r="M97" s="1"/>
      <c r="N97" s="28"/>
      <c r="O97" s="1"/>
    </row>
    <row r="98" customFormat="false" ht="15" hidden="false" customHeight="false" outlineLevel="0" collapsed="false">
      <c r="A98" s="22" t="s">
        <v>704</v>
      </c>
      <c r="B98" s="22" t="s">
        <v>705</v>
      </c>
      <c r="C98" s="22" t="s">
        <v>404</v>
      </c>
      <c r="D98" s="22" t="s">
        <v>405</v>
      </c>
      <c r="E98" s="22" t="s">
        <v>404</v>
      </c>
      <c r="F98" s="22" t="s">
        <v>706</v>
      </c>
      <c r="G98" s="27" t="n">
        <v>0.01</v>
      </c>
      <c r="H98" s="22" t="s">
        <v>408</v>
      </c>
      <c r="I98" s="22" t="s">
        <v>409</v>
      </c>
      <c r="J98" s="1"/>
      <c r="K98" s="1"/>
      <c r="L98" s="1"/>
      <c r="M98" s="1"/>
      <c r="N98" s="26"/>
      <c r="O98" s="1"/>
    </row>
    <row r="99" customFormat="false" ht="15" hidden="false" customHeight="true" outlineLevel="0" collapsed="false">
      <c r="A99" s="22" t="s">
        <v>707</v>
      </c>
      <c r="B99" s="22" t="s">
        <v>708</v>
      </c>
      <c r="C99" s="22" t="s">
        <v>404</v>
      </c>
      <c r="D99" s="22" t="s">
        <v>405</v>
      </c>
      <c r="E99" s="22" t="s">
        <v>404</v>
      </c>
      <c r="F99" s="22" t="s">
        <v>709</v>
      </c>
      <c r="G99" s="27" t="n">
        <v>0.01</v>
      </c>
      <c r="H99" s="22" t="s">
        <v>408</v>
      </c>
      <c r="I99" s="22" t="s">
        <v>409</v>
      </c>
      <c r="J99" s="22" t="s">
        <v>710</v>
      </c>
      <c r="K99" s="1" t="s">
        <v>711</v>
      </c>
      <c r="L99" s="1" t="s">
        <v>576</v>
      </c>
      <c r="M99" s="1" t="s">
        <v>712</v>
      </c>
      <c r="N99" s="28"/>
      <c r="O99" s="1"/>
    </row>
    <row r="100" customFormat="false" ht="15" hidden="false" customHeight="true" outlineLevel="0" collapsed="false">
      <c r="A100" s="22" t="s">
        <v>713</v>
      </c>
      <c r="B100" s="22" t="s">
        <v>714</v>
      </c>
      <c r="C100" s="22" t="s">
        <v>404</v>
      </c>
      <c r="D100" s="22" t="s">
        <v>405</v>
      </c>
      <c r="E100" s="22" t="s">
        <v>404</v>
      </c>
      <c r="F100" s="22" t="s">
        <v>715</v>
      </c>
      <c r="G100" s="27" t="n">
        <v>0.01</v>
      </c>
      <c r="H100" s="22" t="s">
        <v>408</v>
      </c>
      <c r="I100" s="22" t="s">
        <v>409</v>
      </c>
      <c r="J100" s="1"/>
      <c r="K100" s="1"/>
      <c r="L100" s="1"/>
      <c r="M100" s="1"/>
      <c r="N100" s="28"/>
      <c r="O100" s="1"/>
    </row>
    <row r="101" customFormat="false" ht="15" hidden="false" customHeight="false" outlineLevel="0" collapsed="false">
      <c r="A101" s="22" t="s">
        <v>716</v>
      </c>
      <c r="B101" s="22" t="s">
        <v>717</v>
      </c>
      <c r="C101" s="22" t="s">
        <v>404</v>
      </c>
      <c r="D101" s="22" t="s">
        <v>405</v>
      </c>
      <c r="E101" s="22" t="s">
        <v>404</v>
      </c>
      <c r="F101" s="22" t="s">
        <v>718</v>
      </c>
      <c r="G101" s="27" t="n">
        <v>0.01</v>
      </c>
      <c r="H101" s="22" t="s">
        <v>408</v>
      </c>
      <c r="I101" s="22" t="s">
        <v>409</v>
      </c>
      <c r="J101" s="1"/>
      <c r="K101" s="1"/>
      <c r="L101" s="1"/>
      <c r="M101" s="1"/>
      <c r="N101" s="28"/>
      <c r="O101" s="1"/>
    </row>
    <row r="102" customFormat="false" ht="15" hidden="false" customHeight="false" outlineLevel="0" collapsed="false">
      <c r="A102" s="22" t="s">
        <v>719</v>
      </c>
      <c r="B102" s="22" t="s">
        <v>720</v>
      </c>
      <c r="C102" s="22" t="s">
        <v>404</v>
      </c>
      <c r="D102" s="22" t="s">
        <v>405</v>
      </c>
      <c r="E102" s="22" t="s">
        <v>404</v>
      </c>
      <c r="F102" s="22" t="s">
        <v>721</v>
      </c>
      <c r="G102" s="27" t="n">
        <v>0.01</v>
      </c>
      <c r="H102" s="22" t="s">
        <v>408</v>
      </c>
      <c r="I102" s="22" t="s">
        <v>409</v>
      </c>
      <c r="J102" s="1"/>
      <c r="K102" s="1"/>
      <c r="L102" s="1"/>
      <c r="M102" s="1"/>
      <c r="N102" s="26"/>
      <c r="O102" s="1"/>
    </row>
    <row r="103" customFormat="false" ht="15" hidden="false" customHeight="true" outlineLevel="0" collapsed="false">
      <c r="A103" s="22" t="s">
        <v>722</v>
      </c>
      <c r="B103" s="22" t="s">
        <v>723</v>
      </c>
      <c r="C103" s="22" t="s">
        <v>404</v>
      </c>
      <c r="D103" s="22" t="s">
        <v>405</v>
      </c>
      <c r="E103" s="22" t="s">
        <v>404</v>
      </c>
      <c r="F103" s="22" t="s">
        <v>724</v>
      </c>
      <c r="G103" s="27" t="n">
        <v>0.01</v>
      </c>
      <c r="H103" s="22" t="s">
        <v>408</v>
      </c>
      <c r="I103" s="22" t="s">
        <v>409</v>
      </c>
      <c r="J103" s="1"/>
      <c r="K103" s="1"/>
      <c r="L103" s="1"/>
      <c r="M103" s="1"/>
      <c r="N103" s="28"/>
      <c r="O103" s="1"/>
    </row>
    <row r="104" customFormat="false" ht="15" hidden="false" customHeight="false" outlineLevel="0" collapsed="false">
      <c r="A104" s="22" t="s">
        <v>725</v>
      </c>
      <c r="B104" s="22" t="s">
        <v>726</v>
      </c>
      <c r="C104" s="22" t="s">
        <v>404</v>
      </c>
      <c r="D104" s="22" t="s">
        <v>405</v>
      </c>
      <c r="E104" s="22" t="s">
        <v>404</v>
      </c>
      <c r="F104" s="22" t="s">
        <v>727</v>
      </c>
      <c r="G104" s="27" t="n">
        <v>0.01</v>
      </c>
      <c r="H104" s="22" t="s">
        <v>408</v>
      </c>
      <c r="I104" s="22" t="s">
        <v>409</v>
      </c>
      <c r="J104" s="1"/>
      <c r="K104" s="1"/>
      <c r="L104" s="1"/>
      <c r="M104" s="1"/>
      <c r="N104" s="26"/>
      <c r="O104" s="1"/>
    </row>
    <row r="105" customFormat="false" ht="15" hidden="false" customHeight="false" outlineLevel="0" collapsed="false">
      <c r="A105" s="22" t="s">
        <v>728</v>
      </c>
      <c r="B105" s="22" t="s">
        <v>729</v>
      </c>
      <c r="C105" s="22" t="s">
        <v>404</v>
      </c>
      <c r="D105" s="22" t="s">
        <v>405</v>
      </c>
      <c r="E105" s="22" t="s">
        <v>404</v>
      </c>
      <c r="F105" s="22" t="s">
        <v>730</v>
      </c>
      <c r="G105" s="27" t="n">
        <v>0.01</v>
      </c>
      <c r="H105" s="22" t="s">
        <v>408</v>
      </c>
      <c r="I105" s="22" t="s">
        <v>409</v>
      </c>
      <c r="J105" s="1"/>
      <c r="K105" s="1"/>
      <c r="L105" s="1"/>
      <c r="M105" s="1"/>
      <c r="N105" s="28"/>
      <c r="O105" s="1"/>
    </row>
    <row r="106" customFormat="false" ht="15" hidden="false" customHeight="false" outlineLevel="0" collapsed="false">
      <c r="A106" s="22" t="s">
        <v>731</v>
      </c>
      <c r="B106" s="22" t="s">
        <v>732</v>
      </c>
      <c r="C106" s="22" t="s">
        <v>404</v>
      </c>
      <c r="D106" s="22" t="s">
        <v>405</v>
      </c>
      <c r="E106" s="22" t="s">
        <v>404</v>
      </c>
      <c r="F106" s="22" t="s">
        <v>733</v>
      </c>
      <c r="G106" s="27" t="n">
        <v>0.01</v>
      </c>
      <c r="H106" s="22" t="s">
        <v>408</v>
      </c>
      <c r="I106" s="22" t="s">
        <v>409</v>
      </c>
      <c r="J106" s="1"/>
      <c r="K106" s="1"/>
      <c r="L106" s="1"/>
      <c r="M106" s="1"/>
      <c r="N106" s="26"/>
      <c r="O106" s="1"/>
    </row>
    <row r="107" customFormat="false" ht="15" hidden="false" customHeight="false" outlineLevel="0" collapsed="false">
      <c r="A107" s="22" t="s">
        <v>734</v>
      </c>
      <c r="B107" s="22" t="s">
        <v>735</v>
      </c>
      <c r="C107" s="22" t="s">
        <v>404</v>
      </c>
      <c r="D107" s="22" t="s">
        <v>405</v>
      </c>
      <c r="E107" s="22" t="s">
        <v>404</v>
      </c>
      <c r="F107" s="22" t="s">
        <v>736</v>
      </c>
      <c r="G107" s="27" t="n">
        <v>0.01</v>
      </c>
      <c r="H107" s="22" t="s">
        <v>408</v>
      </c>
      <c r="I107" s="22" t="s">
        <v>409</v>
      </c>
      <c r="J107" s="1"/>
      <c r="K107" s="1"/>
      <c r="L107" s="1"/>
      <c r="M107" s="1"/>
      <c r="N107" s="28"/>
      <c r="O107" s="1"/>
    </row>
    <row r="108" customFormat="false" ht="15" hidden="false" customHeight="false" outlineLevel="0" collapsed="false">
      <c r="A108" s="22" t="s">
        <v>737</v>
      </c>
      <c r="B108" s="22" t="s">
        <v>738</v>
      </c>
      <c r="C108" s="22" t="s">
        <v>404</v>
      </c>
      <c r="D108" s="22" t="s">
        <v>405</v>
      </c>
      <c r="E108" s="22" t="s">
        <v>404</v>
      </c>
      <c r="F108" s="22" t="s">
        <v>739</v>
      </c>
      <c r="G108" s="27" t="n">
        <v>0.01</v>
      </c>
      <c r="H108" s="22" t="s">
        <v>408</v>
      </c>
      <c r="I108" s="22" t="s">
        <v>409</v>
      </c>
      <c r="J108" s="1" t="s">
        <v>576</v>
      </c>
      <c r="K108" s="1" t="s">
        <v>740</v>
      </c>
      <c r="L108" s="1"/>
      <c r="M108" s="1"/>
      <c r="N108" s="26"/>
      <c r="O108" s="1"/>
    </row>
    <row r="109" customFormat="false" ht="15" hidden="false" customHeight="false" outlineLevel="0" collapsed="false">
      <c r="A109" s="22" t="s">
        <v>741</v>
      </c>
      <c r="B109" s="22" t="s">
        <v>742</v>
      </c>
      <c r="C109" s="22" t="s">
        <v>404</v>
      </c>
      <c r="D109" s="22" t="s">
        <v>405</v>
      </c>
      <c r="E109" s="22" t="s">
        <v>404</v>
      </c>
      <c r="F109" s="22" t="s">
        <v>743</v>
      </c>
      <c r="G109" s="27" t="n">
        <v>0.01</v>
      </c>
      <c r="H109" s="22" t="s">
        <v>408</v>
      </c>
      <c r="I109" s="22" t="s">
        <v>409</v>
      </c>
      <c r="J109" s="1" t="s">
        <v>576</v>
      </c>
      <c r="K109" s="1" t="s">
        <v>744</v>
      </c>
      <c r="L109" s="1"/>
      <c r="M109" s="1"/>
      <c r="N109" s="28"/>
      <c r="O109" s="1"/>
    </row>
    <row r="110" customFormat="false" ht="15" hidden="false" customHeight="false" outlineLevel="0" collapsed="false">
      <c r="A110" s="22" t="s">
        <v>745</v>
      </c>
      <c r="B110" s="22" t="s">
        <v>746</v>
      </c>
      <c r="C110" s="22" t="s">
        <v>404</v>
      </c>
      <c r="D110" s="22" t="s">
        <v>405</v>
      </c>
      <c r="E110" s="22" t="s">
        <v>404</v>
      </c>
      <c r="F110" s="22" t="s">
        <v>747</v>
      </c>
      <c r="G110" s="27" t="n">
        <v>0.01</v>
      </c>
      <c r="H110" s="22" t="s">
        <v>408</v>
      </c>
      <c r="I110" s="22" t="s">
        <v>409</v>
      </c>
      <c r="J110" s="1"/>
      <c r="K110" s="1"/>
      <c r="L110" s="1"/>
      <c r="M110" s="1"/>
      <c r="N110" s="26"/>
      <c r="O110" s="1"/>
    </row>
    <row r="111" customFormat="false" ht="15" hidden="false" customHeight="false" outlineLevel="0" collapsed="false">
      <c r="A111" s="22" t="s">
        <v>748</v>
      </c>
      <c r="B111" s="22" t="s">
        <v>749</v>
      </c>
      <c r="C111" s="22" t="s">
        <v>404</v>
      </c>
      <c r="D111" s="22" t="s">
        <v>405</v>
      </c>
      <c r="E111" s="22" t="s">
        <v>404</v>
      </c>
      <c r="F111" s="22" t="s">
        <v>750</v>
      </c>
      <c r="G111" s="27" t="n">
        <v>0.01</v>
      </c>
      <c r="H111" s="22" t="s">
        <v>408</v>
      </c>
      <c r="I111" s="22" t="s">
        <v>409</v>
      </c>
      <c r="J111" s="1"/>
      <c r="K111" s="1"/>
      <c r="L111" s="1"/>
      <c r="M111" s="1"/>
      <c r="N111" s="28"/>
      <c r="O111" s="1"/>
    </row>
    <row r="112" customFormat="false" ht="15" hidden="false" customHeight="false" outlineLevel="0" collapsed="false">
      <c r="A112" s="22" t="s">
        <v>751</v>
      </c>
      <c r="B112" s="22" t="s">
        <v>752</v>
      </c>
      <c r="C112" s="22" t="s">
        <v>404</v>
      </c>
      <c r="D112" s="22" t="s">
        <v>405</v>
      </c>
      <c r="E112" s="22" t="s">
        <v>404</v>
      </c>
      <c r="F112" s="22" t="s">
        <v>753</v>
      </c>
      <c r="G112" s="27" t="n">
        <v>0.01</v>
      </c>
      <c r="H112" s="22" t="s">
        <v>408</v>
      </c>
      <c r="I112" s="22" t="s">
        <v>409</v>
      </c>
      <c r="J112" s="1"/>
      <c r="K112" s="1"/>
      <c r="L112" s="1"/>
      <c r="M112" s="1"/>
      <c r="N112" s="26"/>
      <c r="O112" s="1"/>
    </row>
    <row r="113" customFormat="false" ht="15" hidden="false" customHeight="false" outlineLevel="0" collapsed="false">
      <c r="A113" s="22" t="s">
        <v>754</v>
      </c>
      <c r="B113" s="22" t="s">
        <v>755</v>
      </c>
      <c r="C113" s="22" t="s">
        <v>404</v>
      </c>
      <c r="D113" s="22" t="s">
        <v>405</v>
      </c>
      <c r="E113" s="22" t="s">
        <v>404</v>
      </c>
      <c r="F113" s="1" t="s">
        <v>756</v>
      </c>
      <c r="G113" s="27" t="n">
        <v>0.01</v>
      </c>
      <c r="H113" s="22" t="s">
        <v>408</v>
      </c>
      <c r="I113" s="22" t="s">
        <v>409</v>
      </c>
      <c r="J113" s="1"/>
      <c r="K113" s="1"/>
      <c r="L113" s="1"/>
      <c r="M113" s="1"/>
      <c r="N113" s="28"/>
      <c r="O113" s="1"/>
    </row>
    <row r="114" customFormat="false" ht="15" hidden="false" customHeight="false" outlineLevel="0" collapsed="false">
      <c r="A114" s="22" t="s">
        <v>757</v>
      </c>
      <c r="B114" s="22" t="s">
        <v>758</v>
      </c>
      <c r="C114" s="22" t="s">
        <v>404</v>
      </c>
      <c r="D114" s="22" t="s">
        <v>405</v>
      </c>
      <c r="E114" s="22" t="s">
        <v>404</v>
      </c>
      <c r="F114" s="22" t="s">
        <v>759</v>
      </c>
      <c r="G114" s="27" t="n">
        <v>0.01</v>
      </c>
      <c r="H114" s="22" t="s">
        <v>408</v>
      </c>
      <c r="I114" s="22" t="s">
        <v>409</v>
      </c>
      <c r="J114" s="1"/>
      <c r="K114" s="1"/>
      <c r="L114" s="1"/>
      <c r="M114" s="1"/>
      <c r="N114" s="26"/>
      <c r="O114" s="1"/>
    </row>
    <row r="115" customFormat="false" ht="15" hidden="false" customHeight="false" outlineLevel="0" collapsed="false">
      <c r="A115" s="22" t="s">
        <v>760</v>
      </c>
      <c r="B115" s="22" t="s">
        <v>761</v>
      </c>
      <c r="C115" s="22" t="s">
        <v>404</v>
      </c>
      <c r="D115" s="22" t="s">
        <v>405</v>
      </c>
      <c r="E115" s="22" t="s">
        <v>404</v>
      </c>
      <c r="F115" s="22" t="s">
        <v>762</v>
      </c>
      <c r="G115" s="27" t="n">
        <v>0.01</v>
      </c>
      <c r="H115" s="22" t="s">
        <v>408</v>
      </c>
      <c r="I115" s="22" t="s">
        <v>409</v>
      </c>
      <c r="J115" s="1"/>
      <c r="K115" s="1"/>
      <c r="L115" s="1"/>
      <c r="M115" s="1"/>
      <c r="N115" s="28"/>
      <c r="O115" s="1"/>
    </row>
    <row r="116" customFormat="false" ht="15" hidden="false" customHeight="false" outlineLevel="0" collapsed="false">
      <c r="A116" s="22" t="s">
        <v>763</v>
      </c>
      <c r="B116" s="22" t="s">
        <v>764</v>
      </c>
      <c r="C116" s="22" t="s">
        <v>404</v>
      </c>
      <c r="D116" s="22" t="s">
        <v>405</v>
      </c>
      <c r="E116" s="22" t="s">
        <v>404</v>
      </c>
      <c r="F116" s="22" t="s">
        <v>765</v>
      </c>
      <c r="G116" s="27" t="n">
        <v>0.01</v>
      </c>
      <c r="H116" s="22" t="s">
        <v>408</v>
      </c>
      <c r="I116" s="22" t="s">
        <v>409</v>
      </c>
      <c r="J116" s="1"/>
      <c r="K116" s="1"/>
      <c r="L116" s="1"/>
      <c r="M116" s="1"/>
      <c r="N116" s="26"/>
      <c r="O116" s="1"/>
    </row>
    <row r="117" customFormat="false" ht="15" hidden="false" customHeight="false" outlineLevel="0" collapsed="false">
      <c r="A117" s="22" t="s">
        <v>766</v>
      </c>
      <c r="B117" s="22" t="s">
        <v>767</v>
      </c>
      <c r="C117" s="22" t="s">
        <v>404</v>
      </c>
      <c r="D117" s="22" t="s">
        <v>405</v>
      </c>
      <c r="E117" s="22" t="s">
        <v>404</v>
      </c>
      <c r="F117" s="22" t="s">
        <v>768</v>
      </c>
      <c r="G117" s="27" t="n">
        <v>0.01</v>
      </c>
      <c r="H117" s="22" t="s">
        <v>408</v>
      </c>
      <c r="I117" s="22" t="s">
        <v>409</v>
      </c>
      <c r="J117" s="1"/>
      <c r="K117" s="1"/>
      <c r="L117" s="1"/>
      <c r="M117" s="1"/>
      <c r="N117" s="28"/>
      <c r="O117" s="1"/>
    </row>
    <row r="118" customFormat="false" ht="15" hidden="false" customHeight="false" outlineLevel="0" collapsed="false">
      <c r="A118" s="22" t="s">
        <v>769</v>
      </c>
      <c r="B118" s="22" t="s">
        <v>770</v>
      </c>
      <c r="C118" s="22" t="s">
        <v>404</v>
      </c>
      <c r="D118" s="22" t="s">
        <v>405</v>
      </c>
      <c r="E118" s="22" t="s">
        <v>404</v>
      </c>
      <c r="F118" s="22" t="s">
        <v>771</v>
      </c>
      <c r="G118" s="27" t="n">
        <v>0.01</v>
      </c>
      <c r="H118" s="22" t="s">
        <v>408</v>
      </c>
      <c r="I118" s="22" t="s">
        <v>409</v>
      </c>
      <c r="J118" s="1"/>
      <c r="K118" s="1"/>
      <c r="L118" s="1"/>
      <c r="M118" s="1"/>
      <c r="N118" s="26"/>
      <c r="O118" s="1"/>
    </row>
    <row r="119" customFormat="false" ht="15" hidden="false" customHeight="false" outlineLevel="0" collapsed="false">
      <c r="A119" s="22" t="s">
        <v>772</v>
      </c>
      <c r="B119" s="22" t="s">
        <v>773</v>
      </c>
      <c r="C119" s="22" t="s">
        <v>404</v>
      </c>
      <c r="D119" s="22" t="s">
        <v>405</v>
      </c>
      <c r="E119" s="22" t="s">
        <v>404</v>
      </c>
      <c r="F119" s="22" t="s">
        <v>774</v>
      </c>
      <c r="G119" s="27" t="n">
        <v>0.01</v>
      </c>
      <c r="H119" s="22" t="s">
        <v>408</v>
      </c>
      <c r="I119" s="22" t="s">
        <v>409</v>
      </c>
      <c r="J119" s="1"/>
      <c r="K119" s="1"/>
      <c r="L119" s="1"/>
      <c r="M119" s="1"/>
      <c r="N119" s="28"/>
      <c r="O119" s="1"/>
    </row>
    <row r="120" customFormat="false" ht="15" hidden="false" customHeight="false" outlineLevel="0" collapsed="false">
      <c r="A120" s="22" t="s">
        <v>775</v>
      </c>
      <c r="B120" s="22" t="s">
        <v>776</v>
      </c>
      <c r="C120" s="22" t="s">
        <v>404</v>
      </c>
      <c r="D120" s="22" t="s">
        <v>405</v>
      </c>
      <c r="E120" s="22" t="s">
        <v>404</v>
      </c>
      <c r="F120" s="22" t="s">
        <v>777</v>
      </c>
      <c r="G120" s="27" t="n">
        <v>0.01</v>
      </c>
      <c r="H120" s="22" t="s">
        <v>408</v>
      </c>
      <c r="I120" s="22" t="s">
        <v>409</v>
      </c>
      <c r="J120" s="1"/>
      <c r="K120" s="1"/>
      <c r="L120" s="1"/>
      <c r="M120" s="1"/>
      <c r="N120" s="26"/>
      <c r="O120" s="1"/>
    </row>
    <row r="121" customFormat="false" ht="15" hidden="false" customHeight="false" outlineLevel="0" collapsed="false">
      <c r="A121" s="22" t="s">
        <v>778</v>
      </c>
      <c r="B121" s="22" t="s">
        <v>779</v>
      </c>
      <c r="C121" s="22" t="s">
        <v>404</v>
      </c>
      <c r="D121" s="22" t="s">
        <v>405</v>
      </c>
      <c r="E121" s="22" t="s">
        <v>404</v>
      </c>
      <c r="F121" s="22" t="s">
        <v>780</v>
      </c>
      <c r="G121" s="27" t="n">
        <v>0.01</v>
      </c>
      <c r="H121" s="22" t="s">
        <v>408</v>
      </c>
      <c r="I121" s="22" t="s">
        <v>409</v>
      </c>
      <c r="J121" s="1"/>
      <c r="K121" s="1"/>
      <c r="L121" s="1"/>
      <c r="M121" s="1"/>
      <c r="N121" s="28"/>
      <c r="O121" s="1"/>
    </row>
    <row r="122" customFormat="false" ht="15" hidden="false" customHeight="false" outlineLevel="0" collapsed="false">
      <c r="A122" s="22" t="s">
        <v>781</v>
      </c>
      <c r="B122" s="22" t="s">
        <v>782</v>
      </c>
      <c r="C122" s="22" t="s">
        <v>404</v>
      </c>
      <c r="D122" s="22" t="s">
        <v>405</v>
      </c>
      <c r="E122" s="22" t="s">
        <v>404</v>
      </c>
      <c r="F122" s="22" t="s">
        <v>783</v>
      </c>
      <c r="G122" s="27" t="n">
        <v>0.01</v>
      </c>
      <c r="H122" s="22" t="s">
        <v>408</v>
      </c>
      <c r="I122" s="22" t="s">
        <v>409</v>
      </c>
      <c r="J122" s="1"/>
      <c r="K122" s="1"/>
      <c r="L122" s="1"/>
      <c r="M122" s="1"/>
      <c r="N122" s="26"/>
      <c r="O122" s="1"/>
    </row>
    <row r="123" customFormat="false" ht="15" hidden="false" customHeight="false" outlineLevel="0" collapsed="false">
      <c r="A123" s="22" t="s">
        <v>784</v>
      </c>
      <c r="B123" s="22" t="s">
        <v>785</v>
      </c>
      <c r="C123" s="22" t="s">
        <v>404</v>
      </c>
      <c r="D123" s="22" t="s">
        <v>405</v>
      </c>
      <c r="E123" s="22" t="s">
        <v>404</v>
      </c>
      <c r="F123" s="22" t="s">
        <v>786</v>
      </c>
      <c r="G123" s="27" t="n">
        <v>0.01</v>
      </c>
      <c r="H123" s="22" t="s">
        <v>408</v>
      </c>
      <c r="I123" s="22" t="s">
        <v>409</v>
      </c>
      <c r="J123" s="1"/>
      <c r="K123" s="1"/>
      <c r="L123" s="1"/>
      <c r="M123" s="1"/>
      <c r="N123" s="28"/>
      <c r="O123" s="1"/>
    </row>
    <row r="124" customFormat="false" ht="15" hidden="false" customHeight="false" outlineLevel="0" collapsed="false">
      <c r="A124" s="22" t="s">
        <v>787</v>
      </c>
      <c r="B124" s="22" t="s">
        <v>788</v>
      </c>
      <c r="C124" s="22" t="s">
        <v>404</v>
      </c>
      <c r="D124" s="22" t="s">
        <v>405</v>
      </c>
      <c r="E124" s="22" t="s">
        <v>404</v>
      </c>
      <c r="F124" s="22" t="s">
        <v>789</v>
      </c>
      <c r="G124" s="27" t="n">
        <v>0.01</v>
      </c>
      <c r="H124" s="22" t="s">
        <v>408</v>
      </c>
      <c r="I124" s="22" t="s">
        <v>409</v>
      </c>
      <c r="J124" s="1"/>
      <c r="K124" s="1"/>
      <c r="L124" s="1"/>
      <c r="M124" s="1"/>
      <c r="N124" s="26"/>
      <c r="O124" s="1"/>
    </row>
    <row r="125" customFormat="false" ht="15" hidden="false" customHeight="false" outlineLevel="0" collapsed="false">
      <c r="A125" s="22" t="s">
        <v>790</v>
      </c>
      <c r="B125" s="22" t="s">
        <v>791</v>
      </c>
      <c r="C125" s="22" t="s">
        <v>404</v>
      </c>
      <c r="D125" s="22" t="s">
        <v>405</v>
      </c>
      <c r="E125" s="22" t="s">
        <v>404</v>
      </c>
      <c r="F125" s="22" t="s">
        <v>792</v>
      </c>
      <c r="G125" s="27" t="n">
        <v>0.01</v>
      </c>
      <c r="H125" s="22" t="s">
        <v>408</v>
      </c>
      <c r="I125" s="22" t="s">
        <v>409</v>
      </c>
      <c r="J125" s="1"/>
      <c r="K125" s="1"/>
      <c r="L125" s="1"/>
      <c r="M125" s="1"/>
      <c r="N125" s="28"/>
      <c r="O125" s="1"/>
    </row>
    <row r="126" customFormat="false" ht="15" hidden="false" customHeight="false" outlineLevel="0" collapsed="false">
      <c r="A126" s="22" t="s">
        <v>793</v>
      </c>
      <c r="B126" s="22" t="s">
        <v>794</v>
      </c>
      <c r="C126" s="22" t="s">
        <v>404</v>
      </c>
      <c r="D126" s="22" t="s">
        <v>405</v>
      </c>
      <c r="E126" s="22" t="s">
        <v>404</v>
      </c>
      <c r="F126" s="22" t="s">
        <v>795</v>
      </c>
      <c r="G126" s="27" t="n">
        <v>0.01</v>
      </c>
      <c r="H126" s="22" t="s">
        <v>408</v>
      </c>
      <c r="I126" s="22" t="s">
        <v>409</v>
      </c>
      <c r="J126" s="1" t="s">
        <v>576</v>
      </c>
      <c r="K126" s="1" t="s">
        <v>796</v>
      </c>
      <c r="L126" s="1"/>
      <c r="M126" s="1"/>
      <c r="N126" s="26"/>
      <c r="O126" s="1"/>
    </row>
    <row r="127" customFormat="false" ht="15" hidden="false" customHeight="false" outlineLevel="0" collapsed="false">
      <c r="A127" s="22" t="s">
        <v>797</v>
      </c>
      <c r="B127" s="22" t="s">
        <v>798</v>
      </c>
      <c r="C127" s="22" t="s">
        <v>404</v>
      </c>
      <c r="D127" s="22" t="s">
        <v>405</v>
      </c>
      <c r="E127" s="22" t="s">
        <v>404</v>
      </c>
      <c r="F127" s="22" t="s">
        <v>799</v>
      </c>
      <c r="G127" s="27" t="n">
        <v>0.01</v>
      </c>
      <c r="H127" s="22" t="s">
        <v>408</v>
      </c>
      <c r="I127" s="22" t="s">
        <v>409</v>
      </c>
      <c r="J127" s="1"/>
      <c r="K127" s="1"/>
      <c r="L127" s="1"/>
      <c r="M127" s="1"/>
      <c r="N127" s="28"/>
      <c r="O127" s="1"/>
    </row>
    <row r="128" customFormat="false" ht="15" hidden="false" customHeight="false" outlineLevel="0" collapsed="false">
      <c r="A128" s="22" t="s">
        <v>800</v>
      </c>
      <c r="B128" s="22" t="s">
        <v>801</v>
      </c>
      <c r="C128" s="22" t="s">
        <v>404</v>
      </c>
      <c r="D128" s="22" t="s">
        <v>405</v>
      </c>
      <c r="E128" s="22" t="s">
        <v>404</v>
      </c>
      <c r="F128" s="22" t="s">
        <v>802</v>
      </c>
      <c r="G128" s="27" t="n">
        <v>0.01</v>
      </c>
      <c r="H128" s="22" t="s">
        <v>408</v>
      </c>
      <c r="I128" s="22" t="s">
        <v>409</v>
      </c>
      <c r="J128" s="1"/>
      <c r="K128" s="1"/>
      <c r="L128" s="1"/>
      <c r="M128" s="1"/>
      <c r="N128" s="26"/>
      <c r="O128" s="1"/>
    </row>
    <row r="129" customFormat="false" ht="15" hidden="false" customHeight="false" outlineLevel="0" collapsed="false">
      <c r="A129" s="22" t="s">
        <v>803</v>
      </c>
      <c r="B129" s="22" t="s">
        <v>804</v>
      </c>
      <c r="C129" s="22" t="s">
        <v>404</v>
      </c>
      <c r="D129" s="22" t="s">
        <v>405</v>
      </c>
      <c r="E129" s="22" t="s">
        <v>404</v>
      </c>
      <c r="F129" s="22" t="s">
        <v>805</v>
      </c>
      <c r="G129" s="27" t="n">
        <v>0.01</v>
      </c>
      <c r="H129" s="22" t="s">
        <v>408</v>
      </c>
      <c r="I129" s="22" t="s">
        <v>409</v>
      </c>
      <c r="J129" s="1"/>
      <c r="K129" s="1"/>
      <c r="L129" s="1"/>
      <c r="M129" s="1"/>
      <c r="N129" s="28"/>
      <c r="O129" s="1"/>
    </row>
    <row r="130" customFormat="false" ht="15" hidden="false" customHeight="false" outlineLevel="0" collapsed="false">
      <c r="A130" s="22" t="s">
        <v>806</v>
      </c>
      <c r="B130" s="22" t="s">
        <v>807</v>
      </c>
      <c r="C130" s="22" t="s">
        <v>404</v>
      </c>
      <c r="D130" s="22" t="s">
        <v>405</v>
      </c>
      <c r="E130" s="22" t="s">
        <v>404</v>
      </c>
      <c r="F130" s="22" t="s">
        <v>808</v>
      </c>
      <c r="G130" s="27" t="n">
        <v>0.01</v>
      </c>
      <c r="H130" s="22" t="s">
        <v>408</v>
      </c>
      <c r="I130" s="22" t="s">
        <v>409</v>
      </c>
      <c r="J130" s="1"/>
      <c r="K130" s="1"/>
      <c r="L130" s="1"/>
      <c r="M130" s="1"/>
      <c r="N130" s="26"/>
      <c r="O130" s="1"/>
    </row>
    <row r="131" customFormat="false" ht="15" hidden="false" customHeight="false" outlineLevel="0" collapsed="false">
      <c r="A131" s="22" t="s">
        <v>809</v>
      </c>
      <c r="B131" s="22" t="s">
        <v>810</v>
      </c>
      <c r="C131" s="22" t="s">
        <v>404</v>
      </c>
      <c r="D131" s="22" t="s">
        <v>405</v>
      </c>
      <c r="E131" s="22" t="s">
        <v>404</v>
      </c>
      <c r="F131" s="22" t="s">
        <v>811</v>
      </c>
      <c r="G131" s="27" t="n">
        <v>0.01</v>
      </c>
      <c r="H131" s="22" t="s">
        <v>408</v>
      </c>
      <c r="I131" s="22" t="s">
        <v>409</v>
      </c>
      <c r="J131" s="1"/>
      <c r="K131" s="1"/>
      <c r="L131" s="1"/>
      <c r="M131" s="1"/>
      <c r="N131" s="28"/>
      <c r="O131" s="1"/>
    </row>
    <row r="132" customFormat="false" ht="15" hidden="false" customHeight="false" outlineLevel="0" collapsed="false">
      <c r="A132" s="22" t="s">
        <v>812</v>
      </c>
      <c r="B132" s="22" t="s">
        <v>813</v>
      </c>
      <c r="C132" s="22" t="s">
        <v>404</v>
      </c>
      <c r="D132" s="22" t="s">
        <v>405</v>
      </c>
      <c r="E132" s="22" t="s">
        <v>404</v>
      </c>
      <c r="F132" s="22" t="s">
        <v>814</v>
      </c>
      <c r="G132" s="27" t="n">
        <v>0.01</v>
      </c>
      <c r="H132" s="22" t="s">
        <v>408</v>
      </c>
      <c r="I132" s="22" t="s">
        <v>409</v>
      </c>
      <c r="J132" s="1"/>
      <c r="K132" s="1"/>
      <c r="L132" s="1"/>
      <c r="M132" s="1"/>
      <c r="N132" s="26"/>
      <c r="O132" s="1"/>
    </row>
    <row r="133" customFormat="false" ht="15" hidden="false" customHeight="false" outlineLevel="0" collapsed="false">
      <c r="A133" s="22" t="s">
        <v>815</v>
      </c>
      <c r="B133" s="22" t="s">
        <v>816</v>
      </c>
      <c r="C133" s="22" t="s">
        <v>404</v>
      </c>
      <c r="D133" s="22" t="s">
        <v>405</v>
      </c>
      <c r="E133" s="22" t="s">
        <v>404</v>
      </c>
      <c r="F133" s="22" t="s">
        <v>817</v>
      </c>
      <c r="G133" s="27" t="n">
        <v>0.01</v>
      </c>
      <c r="H133" s="22" t="s">
        <v>408</v>
      </c>
      <c r="I133" s="22" t="s">
        <v>409</v>
      </c>
      <c r="J133" s="1"/>
      <c r="K133" s="1"/>
      <c r="L133" s="1"/>
      <c r="M133" s="1"/>
      <c r="N133" s="28"/>
      <c r="O133" s="1"/>
    </row>
    <row r="134" customFormat="false" ht="15" hidden="false" customHeight="false" outlineLevel="0" collapsed="false">
      <c r="A134" s="22" t="s">
        <v>818</v>
      </c>
      <c r="B134" s="22" t="s">
        <v>819</v>
      </c>
      <c r="C134" s="22" t="s">
        <v>404</v>
      </c>
      <c r="D134" s="22" t="s">
        <v>405</v>
      </c>
      <c r="E134" s="22" t="s">
        <v>404</v>
      </c>
      <c r="F134" s="22" t="s">
        <v>820</v>
      </c>
      <c r="G134" s="27" t="n">
        <v>0.01</v>
      </c>
      <c r="H134" s="22" t="s">
        <v>408</v>
      </c>
      <c r="I134" s="22" t="s">
        <v>409</v>
      </c>
      <c r="J134" s="1"/>
      <c r="K134" s="1"/>
      <c r="L134" s="1"/>
      <c r="M134" s="1"/>
      <c r="N134" s="26"/>
      <c r="O134" s="1"/>
    </row>
    <row r="135" customFormat="false" ht="15" hidden="false" customHeight="false" outlineLevel="0" collapsed="false">
      <c r="A135" s="22" t="s">
        <v>821</v>
      </c>
      <c r="B135" s="22" t="s">
        <v>822</v>
      </c>
      <c r="C135" s="22" t="s">
        <v>404</v>
      </c>
      <c r="D135" s="22" t="s">
        <v>405</v>
      </c>
      <c r="E135" s="22" t="s">
        <v>404</v>
      </c>
      <c r="F135" s="22" t="s">
        <v>823</v>
      </c>
      <c r="G135" s="27" t="n">
        <v>0.01</v>
      </c>
      <c r="H135" s="22" t="s">
        <v>408</v>
      </c>
      <c r="I135" s="22" t="s">
        <v>409</v>
      </c>
      <c r="J135" s="1"/>
      <c r="K135" s="1"/>
      <c r="L135" s="1"/>
      <c r="M135" s="1"/>
      <c r="N135" s="28"/>
      <c r="O135" s="1"/>
    </row>
    <row r="136" customFormat="false" ht="15" hidden="false" customHeight="false" outlineLevel="0" collapsed="false">
      <c r="A136" s="22" t="s">
        <v>824</v>
      </c>
      <c r="B136" s="22" t="s">
        <v>825</v>
      </c>
      <c r="C136" s="22" t="s">
        <v>404</v>
      </c>
      <c r="D136" s="22" t="s">
        <v>405</v>
      </c>
      <c r="E136" s="22" t="s">
        <v>404</v>
      </c>
      <c r="F136" s="22" t="s">
        <v>826</v>
      </c>
      <c r="G136" s="27" t="n">
        <v>0.01</v>
      </c>
      <c r="H136" s="22" t="s">
        <v>408</v>
      </c>
      <c r="I136" s="22" t="s">
        <v>409</v>
      </c>
      <c r="J136" s="1"/>
      <c r="K136" s="1"/>
      <c r="L136" s="1"/>
      <c r="M136" s="1"/>
      <c r="N136" s="26"/>
      <c r="O136" s="1"/>
    </row>
    <row r="137" customFormat="false" ht="15" hidden="false" customHeight="false" outlineLevel="0" collapsed="false">
      <c r="A137" s="22" t="s">
        <v>827</v>
      </c>
      <c r="B137" s="22" t="s">
        <v>828</v>
      </c>
      <c r="C137" s="22" t="s">
        <v>404</v>
      </c>
      <c r="D137" s="22" t="s">
        <v>405</v>
      </c>
      <c r="E137" s="22" t="s">
        <v>404</v>
      </c>
      <c r="F137" s="22" t="s">
        <v>829</v>
      </c>
      <c r="G137" s="27" t="n">
        <v>0.01</v>
      </c>
      <c r="H137" s="22" t="s">
        <v>408</v>
      </c>
      <c r="I137" s="22" t="s">
        <v>409</v>
      </c>
      <c r="J137" s="1"/>
      <c r="K137" s="1"/>
      <c r="L137" s="1"/>
      <c r="M137" s="1"/>
      <c r="N137" s="28"/>
      <c r="O137" s="1"/>
    </row>
    <row r="138" customFormat="false" ht="15" hidden="false" customHeight="false" outlineLevel="0" collapsed="false">
      <c r="A138" s="22" t="s">
        <v>830</v>
      </c>
      <c r="B138" s="22" t="s">
        <v>831</v>
      </c>
      <c r="C138" s="22" t="s">
        <v>404</v>
      </c>
      <c r="D138" s="22" t="s">
        <v>405</v>
      </c>
      <c r="E138" s="22" t="s">
        <v>404</v>
      </c>
      <c r="F138" s="22" t="s">
        <v>832</v>
      </c>
      <c r="G138" s="27" t="n">
        <v>0.01</v>
      </c>
      <c r="H138" s="22" t="s">
        <v>408</v>
      </c>
      <c r="I138" s="22" t="s">
        <v>409</v>
      </c>
      <c r="J138" s="1"/>
      <c r="K138" s="1"/>
      <c r="L138" s="1"/>
      <c r="M138" s="1"/>
      <c r="N138" s="26"/>
      <c r="O138" s="1"/>
    </row>
    <row r="139" customFormat="false" ht="15" hidden="false" customHeight="false" outlineLevel="0" collapsed="false">
      <c r="A139" s="22" t="s">
        <v>833</v>
      </c>
      <c r="B139" s="22" t="s">
        <v>834</v>
      </c>
      <c r="C139" s="22" t="s">
        <v>404</v>
      </c>
      <c r="D139" s="22" t="s">
        <v>405</v>
      </c>
      <c r="E139" s="22" t="s">
        <v>404</v>
      </c>
      <c r="F139" s="22" t="s">
        <v>835</v>
      </c>
      <c r="G139" s="27" t="n">
        <v>0.01</v>
      </c>
      <c r="H139" s="22" t="s">
        <v>408</v>
      </c>
      <c r="I139" s="22" t="s">
        <v>409</v>
      </c>
      <c r="J139" s="1"/>
      <c r="K139" s="1"/>
      <c r="L139" s="1"/>
      <c r="M139" s="1"/>
      <c r="N139" s="28"/>
      <c r="O139" s="1"/>
    </row>
    <row r="140" customFormat="false" ht="15" hidden="false" customHeight="false" outlineLevel="0" collapsed="false">
      <c r="A140" s="22" t="s">
        <v>836</v>
      </c>
      <c r="B140" s="22" t="s">
        <v>837</v>
      </c>
      <c r="C140" s="22" t="s">
        <v>404</v>
      </c>
      <c r="D140" s="22" t="s">
        <v>405</v>
      </c>
      <c r="E140" s="22" t="s">
        <v>404</v>
      </c>
      <c r="F140" s="22" t="s">
        <v>838</v>
      </c>
      <c r="G140" s="27" t="n">
        <v>0.01</v>
      </c>
      <c r="H140" s="22" t="s">
        <v>408</v>
      </c>
      <c r="I140" s="22" t="s">
        <v>409</v>
      </c>
      <c r="J140" s="1"/>
      <c r="K140" s="1"/>
      <c r="L140" s="1"/>
      <c r="M140" s="1"/>
      <c r="N140" s="26"/>
      <c r="O140" s="1"/>
    </row>
    <row r="141" customFormat="false" ht="15" hidden="false" customHeight="false" outlineLevel="0" collapsed="false">
      <c r="A141" s="22" t="s">
        <v>839</v>
      </c>
      <c r="B141" s="22" t="s">
        <v>840</v>
      </c>
      <c r="C141" s="22" t="s">
        <v>404</v>
      </c>
      <c r="D141" s="22" t="s">
        <v>405</v>
      </c>
      <c r="E141" s="22" t="s">
        <v>404</v>
      </c>
      <c r="F141" s="22" t="s">
        <v>841</v>
      </c>
      <c r="G141" s="27" t="n">
        <v>0.01</v>
      </c>
      <c r="H141" s="22" t="s">
        <v>408</v>
      </c>
      <c r="I141" s="22" t="s">
        <v>409</v>
      </c>
      <c r="J141" s="1"/>
      <c r="K141" s="1"/>
      <c r="L141" s="1"/>
      <c r="M141" s="1"/>
      <c r="N141" s="28"/>
      <c r="O141" s="1"/>
    </row>
    <row r="142" customFormat="false" ht="15" hidden="false" customHeight="false" outlineLevel="0" collapsed="false">
      <c r="A142" s="22" t="s">
        <v>842</v>
      </c>
      <c r="B142" s="22" t="s">
        <v>843</v>
      </c>
      <c r="C142" s="22" t="s">
        <v>404</v>
      </c>
      <c r="D142" s="22" t="s">
        <v>405</v>
      </c>
      <c r="E142" s="22" t="s">
        <v>404</v>
      </c>
      <c r="F142" s="22" t="s">
        <v>844</v>
      </c>
      <c r="G142" s="27" t="n">
        <v>0.01</v>
      </c>
      <c r="H142" s="22" t="s">
        <v>408</v>
      </c>
      <c r="I142" s="22" t="s">
        <v>409</v>
      </c>
      <c r="J142" s="1"/>
      <c r="K142" s="1"/>
      <c r="L142" s="1"/>
      <c r="M142" s="1"/>
      <c r="N142" s="26"/>
      <c r="O142" s="1"/>
    </row>
    <row r="143" customFormat="false" ht="15" hidden="false" customHeight="false" outlineLevel="0" collapsed="false">
      <c r="A143" s="22" t="s">
        <v>845</v>
      </c>
      <c r="B143" s="22" t="s">
        <v>846</v>
      </c>
      <c r="C143" s="22" t="s">
        <v>404</v>
      </c>
      <c r="D143" s="22" t="s">
        <v>405</v>
      </c>
      <c r="E143" s="22" t="s">
        <v>404</v>
      </c>
      <c r="F143" s="22" t="s">
        <v>847</v>
      </c>
      <c r="G143" s="27" t="n">
        <v>0.01</v>
      </c>
      <c r="H143" s="22" t="s">
        <v>408</v>
      </c>
      <c r="I143" s="22" t="s">
        <v>409</v>
      </c>
      <c r="J143" s="1"/>
      <c r="K143" s="1"/>
      <c r="L143" s="1"/>
      <c r="M143" s="1"/>
      <c r="N143" s="28"/>
      <c r="O143" s="1"/>
    </row>
    <row r="144" customFormat="false" ht="15" hidden="false" customHeight="false" outlineLevel="0" collapsed="false">
      <c r="A144" s="22" t="s">
        <v>848</v>
      </c>
      <c r="B144" s="22" t="s">
        <v>849</v>
      </c>
      <c r="C144" s="22" t="s">
        <v>404</v>
      </c>
      <c r="D144" s="22" t="s">
        <v>405</v>
      </c>
      <c r="E144" s="22" t="s">
        <v>404</v>
      </c>
      <c r="F144" s="22" t="s">
        <v>850</v>
      </c>
      <c r="G144" s="27" t="n">
        <v>0.01</v>
      </c>
      <c r="H144" s="22" t="s">
        <v>408</v>
      </c>
      <c r="I144" s="22" t="s">
        <v>409</v>
      </c>
      <c r="J144" s="1"/>
      <c r="K144" s="1"/>
      <c r="L144" s="1"/>
      <c r="M144" s="1"/>
      <c r="N144" s="26"/>
      <c r="O144" s="1"/>
    </row>
    <row r="145" customFormat="false" ht="15" hidden="false" customHeight="false" outlineLevel="0" collapsed="false">
      <c r="A145" s="22" t="s">
        <v>851</v>
      </c>
      <c r="B145" s="22" t="s">
        <v>852</v>
      </c>
      <c r="C145" s="22" t="s">
        <v>404</v>
      </c>
      <c r="D145" s="22" t="s">
        <v>405</v>
      </c>
      <c r="E145" s="22" t="s">
        <v>404</v>
      </c>
      <c r="F145" s="22" t="s">
        <v>853</v>
      </c>
      <c r="G145" s="27" t="n">
        <v>0.01</v>
      </c>
      <c r="H145" s="22" t="s">
        <v>408</v>
      </c>
      <c r="I145" s="22" t="s">
        <v>409</v>
      </c>
      <c r="J145" s="1"/>
      <c r="K145" s="1"/>
      <c r="L145" s="1"/>
      <c r="M145" s="1"/>
      <c r="N145" s="28"/>
      <c r="O145" s="1"/>
    </row>
    <row r="146" customFormat="false" ht="15" hidden="false" customHeight="false" outlineLevel="0" collapsed="false">
      <c r="A146" s="22" t="s">
        <v>854</v>
      </c>
      <c r="B146" s="22" t="s">
        <v>855</v>
      </c>
      <c r="C146" s="22" t="s">
        <v>404</v>
      </c>
      <c r="D146" s="22" t="s">
        <v>405</v>
      </c>
      <c r="E146" s="22" t="s">
        <v>404</v>
      </c>
      <c r="F146" s="22" t="s">
        <v>856</v>
      </c>
      <c r="G146" s="27" t="n">
        <v>0.01</v>
      </c>
      <c r="H146" s="22" t="s">
        <v>408</v>
      </c>
      <c r="I146" s="22" t="s">
        <v>409</v>
      </c>
      <c r="J146" s="1"/>
      <c r="K146" s="1"/>
      <c r="L146" s="1"/>
      <c r="M146" s="1"/>
      <c r="N146" s="26"/>
      <c r="O146" s="1"/>
    </row>
    <row r="147" customFormat="false" ht="15" hidden="false" customHeight="false" outlineLevel="0" collapsed="false">
      <c r="A147" s="22" t="s">
        <v>857</v>
      </c>
      <c r="B147" s="22" t="s">
        <v>858</v>
      </c>
      <c r="C147" s="22" t="s">
        <v>404</v>
      </c>
      <c r="D147" s="22" t="s">
        <v>405</v>
      </c>
      <c r="E147" s="22" t="s">
        <v>404</v>
      </c>
      <c r="F147" s="22" t="s">
        <v>859</v>
      </c>
      <c r="G147" s="27" t="n">
        <v>0.01</v>
      </c>
      <c r="H147" s="22" t="s">
        <v>408</v>
      </c>
      <c r="I147" s="22" t="s">
        <v>409</v>
      </c>
      <c r="J147" s="1"/>
      <c r="K147" s="1"/>
      <c r="L147" s="1"/>
      <c r="M147" s="1"/>
      <c r="N147" s="28"/>
      <c r="O147" s="1"/>
    </row>
    <row r="148" customFormat="false" ht="15" hidden="false" customHeight="false" outlineLevel="0" collapsed="false">
      <c r="A148" s="22" t="s">
        <v>860</v>
      </c>
      <c r="B148" s="22" t="s">
        <v>861</v>
      </c>
      <c r="C148" s="22" t="s">
        <v>404</v>
      </c>
      <c r="D148" s="22" t="s">
        <v>405</v>
      </c>
      <c r="E148" s="22" t="s">
        <v>404</v>
      </c>
      <c r="F148" s="22" t="s">
        <v>862</v>
      </c>
      <c r="G148" s="27" t="n">
        <v>0.01</v>
      </c>
      <c r="H148" s="22" t="s">
        <v>408</v>
      </c>
      <c r="I148" s="22" t="s">
        <v>409</v>
      </c>
      <c r="J148" s="1"/>
      <c r="K148" s="1"/>
      <c r="L148" s="1"/>
      <c r="M148" s="1"/>
      <c r="N148" s="26"/>
      <c r="O148" s="1"/>
    </row>
    <row r="149" customFormat="false" ht="15" hidden="false" customHeight="false" outlineLevel="0" collapsed="false">
      <c r="A149" s="22" t="s">
        <v>863</v>
      </c>
      <c r="B149" s="22" t="s">
        <v>864</v>
      </c>
      <c r="C149" s="22" t="s">
        <v>404</v>
      </c>
      <c r="D149" s="22" t="s">
        <v>405</v>
      </c>
      <c r="E149" s="22" t="s">
        <v>404</v>
      </c>
      <c r="F149" s="22" t="s">
        <v>865</v>
      </c>
      <c r="G149" s="27" t="n">
        <v>0.01</v>
      </c>
      <c r="H149" s="22" t="s">
        <v>408</v>
      </c>
      <c r="I149" s="22" t="s">
        <v>409</v>
      </c>
      <c r="J149" s="1"/>
      <c r="K149" s="1"/>
      <c r="L149" s="1"/>
      <c r="M149" s="1"/>
      <c r="N149" s="28"/>
      <c r="O149" s="1"/>
    </row>
    <row r="150" customFormat="false" ht="15" hidden="false" customHeight="false" outlineLevel="0" collapsed="false">
      <c r="A150" s="22" t="s">
        <v>866</v>
      </c>
      <c r="B150" s="22" t="s">
        <v>867</v>
      </c>
      <c r="C150" s="22" t="s">
        <v>404</v>
      </c>
      <c r="D150" s="22" t="s">
        <v>405</v>
      </c>
      <c r="E150" s="22" t="s">
        <v>404</v>
      </c>
      <c r="F150" s="22" t="s">
        <v>868</v>
      </c>
      <c r="G150" s="27" t="n">
        <v>0.01</v>
      </c>
      <c r="H150" s="22" t="s">
        <v>408</v>
      </c>
      <c r="I150" s="22" t="s">
        <v>409</v>
      </c>
      <c r="J150" s="1"/>
      <c r="K150" s="1"/>
      <c r="L150" s="1"/>
      <c r="M150" s="1"/>
      <c r="N150" s="26"/>
      <c r="O150" s="1"/>
    </row>
    <row r="151" customFormat="false" ht="15" hidden="false" customHeight="false" outlineLevel="0" collapsed="false">
      <c r="A151" s="22" t="s">
        <v>869</v>
      </c>
      <c r="B151" s="22" t="s">
        <v>870</v>
      </c>
      <c r="C151" s="22" t="s">
        <v>404</v>
      </c>
      <c r="D151" s="22" t="s">
        <v>405</v>
      </c>
      <c r="E151" s="22" t="s">
        <v>404</v>
      </c>
      <c r="F151" s="22" t="s">
        <v>871</v>
      </c>
      <c r="G151" s="27" t="n">
        <v>0.01</v>
      </c>
      <c r="H151" s="22" t="s">
        <v>408</v>
      </c>
      <c r="I151" s="22" t="s">
        <v>409</v>
      </c>
      <c r="J151" s="1"/>
      <c r="K151" s="1"/>
      <c r="L151" s="1"/>
      <c r="M151" s="1"/>
      <c r="N151" s="28"/>
      <c r="O151" s="1"/>
    </row>
    <row r="152" customFormat="false" ht="15" hidden="false" customHeight="false" outlineLevel="0" collapsed="false">
      <c r="A152" s="22" t="s">
        <v>872</v>
      </c>
      <c r="B152" s="22" t="s">
        <v>873</v>
      </c>
      <c r="C152" s="22" t="s">
        <v>404</v>
      </c>
      <c r="D152" s="22" t="s">
        <v>405</v>
      </c>
      <c r="E152" s="22" t="s">
        <v>404</v>
      </c>
      <c r="F152" s="22" t="s">
        <v>874</v>
      </c>
      <c r="G152" s="27" t="n">
        <v>0.01</v>
      </c>
      <c r="H152" s="22" t="s">
        <v>408</v>
      </c>
      <c r="I152" s="22" t="s">
        <v>409</v>
      </c>
      <c r="J152" s="1"/>
      <c r="K152" s="1"/>
      <c r="L152" s="1"/>
      <c r="M152" s="1"/>
      <c r="N152" s="26"/>
      <c r="O152" s="1"/>
    </row>
    <row r="153" customFormat="false" ht="15" hidden="false" customHeight="false" outlineLevel="0" collapsed="false">
      <c r="A153" s="22" t="s">
        <v>875</v>
      </c>
      <c r="B153" s="22" t="s">
        <v>876</v>
      </c>
      <c r="C153" s="22" t="s">
        <v>404</v>
      </c>
      <c r="D153" s="22" t="s">
        <v>405</v>
      </c>
      <c r="E153" s="22" t="s">
        <v>404</v>
      </c>
      <c r="F153" s="22" t="s">
        <v>877</v>
      </c>
      <c r="G153" s="27" t="n">
        <v>0.01</v>
      </c>
      <c r="H153" s="22" t="s">
        <v>408</v>
      </c>
      <c r="I153" s="22" t="s">
        <v>409</v>
      </c>
      <c r="J153" s="1"/>
      <c r="K153" s="1"/>
      <c r="L153" s="1"/>
      <c r="M153" s="1"/>
      <c r="N153" s="28"/>
      <c r="O153" s="1"/>
    </row>
    <row r="154" customFormat="false" ht="15" hidden="false" customHeight="false" outlineLevel="0" collapsed="false">
      <c r="A154" s="22" t="s">
        <v>878</v>
      </c>
      <c r="B154" s="22" t="s">
        <v>879</v>
      </c>
      <c r="C154" s="22" t="s">
        <v>404</v>
      </c>
      <c r="D154" s="22" t="s">
        <v>405</v>
      </c>
      <c r="E154" s="22" t="s">
        <v>404</v>
      </c>
      <c r="F154" s="22" t="s">
        <v>880</v>
      </c>
      <c r="G154" s="27" t="n">
        <v>0.01</v>
      </c>
      <c r="H154" s="22" t="s">
        <v>408</v>
      </c>
      <c r="I154" s="22" t="s">
        <v>409</v>
      </c>
      <c r="J154" s="1"/>
      <c r="K154" s="1"/>
      <c r="L154" s="1"/>
      <c r="M154" s="1"/>
      <c r="N154" s="26"/>
      <c r="O154" s="1"/>
    </row>
    <row r="155" customFormat="false" ht="15" hidden="false" customHeight="false" outlineLevel="0" collapsed="false">
      <c r="A155" s="22" t="s">
        <v>881</v>
      </c>
      <c r="B155" s="22" t="s">
        <v>882</v>
      </c>
      <c r="C155" s="22" t="s">
        <v>404</v>
      </c>
      <c r="D155" s="22" t="s">
        <v>405</v>
      </c>
      <c r="E155" s="22" t="s">
        <v>404</v>
      </c>
      <c r="F155" s="22" t="s">
        <v>883</v>
      </c>
      <c r="G155" s="27" t="n">
        <v>0.01</v>
      </c>
      <c r="H155" s="22" t="s">
        <v>408</v>
      </c>
      <c r="I155" s="22" t="s">
        <v>409</v>
      </c>
      <c r="J155" s="1"/>
      <c r="K155" s="1"/>
      <c r="L155" s="1"/>
      <c r="M155" s="1"/>
      <c r="N155" s="28"/>
      <c r="O155" s="1"/>
    </row>
    <row r="156" customFormat="false" ht="15" hidden="false" customHeight="false" outlineLevel="0" collapsed="false">
      <c r="A156" s="22" t="s">
        <v>884</v>
      </c>
      <c r="B156" s="22" t="s">
        <v>885</v>
      </c>
      <c r="C156" s="22" t="s">
        <v>404</v>
      </c>
      <c r="D156" s="22" t="s">
        <v>405</v>
      </c>
      <c r="E156" s="22" t="s">
        <v>404</v>
      </c>
      <c r="F156" s="22" t="s">
        <v>886</v>
      </c>
      <c r="G156" s="27" t="n">
        <v>0.01</v>
      </c>
      <c r="H156" s="22" t="s">
        <v>408</v>
      </c>
      <c r="I156" s="22" t="s">
        <v>409</v>
      </c>
      <c r="J156" s="1"/>
      <c r="K156" s="1"/>
      <c r="L156" s="1"/>
      <c r="M156" s="1"/>
      <c r="N156" s="26"/>
      <c r="O156" s="1"/>
    </row>
    <row r="157" customFormat="false" ht="15" hidden="false" customHeight="false" outlineLevel="0" collapsed="false">
      <c r="A157" s="22" t="s">
        <v>887</v>
      </c>
      <c r="B157" s="22" t="s">
        <v>888</v>
      </c>
      <c r="C157" s="22" t="s">
        <v>404</v>
      </c>
      <c r="D157" s="22" t="s">
        <v>405</v>
      </c>
      <c r="E157" s="22" t="s">
        <v>404</v>
      </c>
      <c r="F157" s="22" t="s">
        <v>889</v>
      </c>
      <c r="G157" s="27" t="n">
        <v>0.01</v>
      </c>
      <c r="H157" s="22" t="s">
        <v>408</v>
      </c>
      <c r="I157" s="22" t="s">
        <v>409</v>
      </c>
      <c r="J157" s="1"/>
      <c r="K157" s="1"/>
      <c r="L157" s="1"/>
      <c r="M157" s="1"/>
      <c r="N157" s="28"/>
      <c r="O157" s="1"/>
    </row>
    <row r="158" customFormat="false" ht="15" hidden="false" customHeight="false" outlineLevel="0" collapsed="false">
      <c r="A158" s="22" t="s">
        <v>890</v>
      </c>
      <c r="B158" s="22" t="s">
        <v>891</v>
      </c>
      <c r="C158" s="22" t="s">
        <v>404</v>
      </c>
      <c r="D158" s="22" t="s">
        <v>405</v>
      </c>
      <c r="E158" s="22" t="s">
        <v>404</v>
      </c>
      <c r="F158" s="22" t="s">
        <v>892</v>
      </c>
      <c r="G158" s="27" t="n">
        <v>0.01</v>
      </c>
      <c r="H158" s="22" t="s">
        <v>408</v>
      </c>
      <c r="I158" s="22" t="s">
        <v>409</v>
      </c>
      <c r="J158" s="1"/>
      <c r="K158" s="1"/>
      <c r="L158" s="1"/>
      <c r="M158" s="1"/>
      <c r="N158" s="26"/>
      <c r="O158" s="1"/>
    </row>
    <row r="159" customFormat="false" ht="15" hidden="false" customHeight="false" outlineLevel="0" collapsed="false">
      <c r="A159" s="22" t="s">
        <v>893</v>
      </c>
      <c r="B159" s="22" t="s">
        <v>894</v>
      </c>
      <c r="C159" s="22" t="s">
        <v>404</v>
      </c>
      <c r="D159" s="22" t="s">
        <v>405</v>
      </c>
      <c r="E159" s="22" t="s">
        <v>404</v>
      </c>
      <c r="F159" s="22" t="s">
        <v>895</v>
      </c>
      <c r="G159" s="27" t="n">
        <v>0.01</v>
      </c>
      <c r="H159" s="22" t="s">
        <v>408</v>
      </c>
      <c r="I159" s="22" t="s">
        <v>409</v>
      </c>
      <c r="J159" s="1"/>
      <c r="K159" s="1"/>
      <c r="L159" s="1"/>
      <c r="M159" s="1"/>
      <c r="N159" s="28"/>
      <c r="O159" s="1"/>
    </row>
    <row r="160" customFormat="false" ht="15" hidden="false" customHeight="false" outlineLevel="0" collapsed="false">
      <c r="A160" s="22" t="s">
        <v>896</v>
      </c>
      <c r="B160" s="22" t="s">
        <v>897</v>
      </c>
      <c r="C160" s="22" t="s">
        <v>404</v>
      </c>
      <c r="D160" s="22" t="s">
        <v>405</v>
      </c>
      <c r="E160" s="22" t="s">
        <v>404</v>
      </c>
      <c r="F160" s="22" t="s">
        <v>898</v>
      </c>
      <c r="G160" s="27" t="n">
        <v>0.01</v>
      </c>
      <c r="H160" s="22" t="s">
        <v>408</v>
      </c>
      <c r="I160" s="22" t="s">
        <v>409</v>
      </c>
      <c r="J160" s="1"/>
      <c r="K160" s="1"/>
      <c r="L160" s="1"/>
      <c r="M160" s="1"/>
      <c r="N160" s="26"/>
      <c r="O160" s="1"/>
    </row>
    <row r="161" customFormat="false" ht="15" hidden="false" customHeight="false" outlineLevel="0" collapsed="false">
      <c r="A161" s="22" t="s">
        <v>899</v>
      </c>
      <c r="B161" s="22" t="s">
        <v>900</v>
      </c>
      <c r="C161" s="22" t="s">
        <v>404</v>
      </c>
      <c r="D161" s="22" t="s">
        <v>405</v>
      </c>
      <c r="E161" s="22" t="s">
        <v>404</v>
      </c>
      <c r="F161" s="22" t="s">
        <v>901</v>
      </c>
      <c r="G161" s="27" t="n">
        <v>0.01</v>
      </c>
      <c r="H161" s="22" t="s">
        <v>408</v>
      </c>
      <c r="I161" s="22" t="s">
        <v>409</v>
      </c>
      <c r="J161" s="1"/>
      <c r="K161" s="1"/>
      <c r="L161" s="1"/>
      <c r="M161" s="1"/>
      <c r="N161" s="28"/>
      <c r="O161" s="1"/>
    </row>
    <row r="162" customFormat="false" ht="15" hidden="false" customHeight="false" outlineLevel="0" collapsed="false">
      <c r="A162" s="22" t="s">
        <v>902</v>
      </c>
      <c r="B162" s="22" t="s">
        <v>903</v>
      </c>
      <c r="C162" s="22" t="s">
        <v>404</v>
      </c>
      <c r="D162" s="22" t="s">
        <v>405</v>
      </c>
      <c r="E162" s="22" t="s">
        <v>404</v>
      </c>
      <c r="F162" s="22" t="s">
        <v>904</v>
      </c>
      <c r="G162" s="27" t="n">
        <v>0.01</v>
      </c>
      <c r="H162" s="22" t="s">
        <v>408</v>
      </c>
      <c r="I162" s="22" t="s">
        <v>409</v>
      </c>
      <c r="J162" s="1"/>
      <c r="K162" s="1"/>
      <c r="L162" s="1"/>
      <c r="M162" s="1"/>
      <c r="N162" s="26"/>
      <c r="O162" s="1"/>
    </row>
    <row r="163" customFormat="false" ht="15" hidden="false" customHeight="false" outlineLevel="0" collapsed="false">
      <c r="A163" s="22" t="s">
        <v>905</v>
      </c>
      <c r="B163" s="22" t="s">
        <v>906</v>
      </c>
      <c r="C163" s="22" t="s">
        <v>404</v>
      </c>
      <c r="D163" s="22" t="s">
        <v>405</v>
      </c>
      <c r="E163" s="22" t="s">
        <v>404</v>
      </c>
      <c r="F163" s="22" t="s">
        <v>907</v>
      </c>
      <c r="G163" s="27" t="n">
        <v>0.01</v>
      </c>
      <c r="H163" s="22" t="s">
        <v>408</v>
      </c>
      <c r="I163" s="22" t="s">
        <v>409</v>
      </c>
      <c r="J163" s="1"/>
      <c r="K163" s="1"/>
      <c r="L163" s="1"/>
      <c r="M163" s="1"/>
      <c r="N163" s="28"/>
      <c r="O163" s="1"/>
    </row>
    <row r="164" customFormat="false" ht="15" hidden="false" customHeight="false" outlineLevel="0" collapsed="false">
      <c r="A164" s="22" t="s">
        <v>908</v>
      </c>
      <c r="B164" s="22" t="s">
        <v>909</v>
      </c>
      <c r="C164" s="22" t="s">
        <v>404</v>
      </c>
      <c r="D164" s="22" t="s">
        <v>405</v>
      </c>
      <c r="E164" s="22" t="s">
        <v>404</v>
      </c>
      <c r="F164" s="22" t="s">
        <v>910</v>
      </c>
      <c r="G164" s="27" t="n">
        <v>0.01</v>
      </c>
      <c r="H164" s="22" t="s">
        <v>408</v>
      </c>
      <c r="I164" s="22" t="s">
        <v>409</v>
      </c>
      <c r="J164" s="1"/>
      <c r="K164" s="1"/>
      <c r="L164" s="1"/>
      <c r="M164" s="1"/>
      <c r="N164" s="26"/>
      <c r="O164" s="1"/>
    </row>
    <row r="165" customFormat="false" ht="15" hidden="false" customHeight="false" outlineLevel="0" collapsed="false">
      <c r="A165" s="22" t="s">
        <v>911</v>
      </c>
      <c r="B165" s="22" t="s">
        <v>912</v>
      </c>
      <c r="C165" s="22" t="s">
        <v>404</v>
      </c>
      <c r="D165" s="22" t="s">
        <v>405</v>
      </c>
      <c r="E165" s="22" t="s">
        <v>404</v>
      </c>
      <c r="F165" s="22" t="s">
        <v>913</v>
      </c>
      <c r="G165" s="27" t="n">
        <v>0.01</v>
      </c>
      <c r="H165" s="22" t="s">
        <v>408</v>
      </c>
      <c r="I165" s="22" t="s">
        <v>409</v>
      </c>
      <c r="J165" s="1"/>
      <c r="K165" s="1"/>
      <c r="L165" s="1"/>
      <c r="M165" s="1"/>
      <c r="N165" s="28"/>
      <c r="O165" s="1"/>
    </row>
    <row r="166" customFormat="false" ht="15" hidden="false" customHeight="false" outlineLevel="0" collapsed="false">
      <c r="A166" s="22" t="s">
        <v>914</v>
      </c>
      <c r="B166" s="22" t="s">
        <v>915</v>
      </c>
      <c r="C166" s="22" t="s">
        <v>404</v>
      </c>
      <c r="D166" s="22" t="s">
        <v>405</v>
      </c>
      <c r="E166" s="22" t="s">
        <v>404</v>
      </c>
      <c r="F166" s="22" t="s">
        <v>916</v>
      </c>
      <c r="G166" s="27" t="n">
        <v>0.01</v>
      </c>
      <c r="H166" s="22" t="s">
        <v>408</v>
      </c>
      <c r="I166" s="22" t="s">
        <v>409</v>
      </c>
      <c r="J166" s="1"/>
      <c r="K166" s="1"/>
      <c r="L166" s="1"/>
      <c r="M166" s="1"/>
      <c r="N166" s="26"/>
      <c r="O166" s="1"/>
    </row>
    <row r="167" customFormat="false" ht="15" hidden="false" customHeight="false" outlineLevel="0" collapsed="false">
      <c r="A167" s="22" t="s">
        <v>917</v>
      </c>
      <c r="B167" s="22" t="s">
        <v>918</v>
      </c>
      <c r="C167" s="22" t="s">
        <v>404</v>
      </c>
      <c r="D167" s="22" t="s">
        <v>405</v>
      </c>
      <c r="E167" s="22" t="s">
        <v>404</v>
      </c>
      <c r="F167" s="22" t="s">
        <v>919</v>
      </c>
      <c r="G167" s="27" t="n">
        <v>0.01</v>
      </c>
      <c r="H167" s="22" t="s">
        <v>408</v>
      </c>
      <c r="I167" s="22" t="s">
        <v>409</v>
      </c>
      <c r="J167" s="1"/>
      <c r="K167" s="1"/>
      <c r="L167" s="1"/>
      <c r="M167" s="1"/>
      <c r="N167" s="28"/>
      <c r="O167" s="1"/>
    </row>
    <row r="168" customFormat="false" ht="15" hidden="false" customHeight="false" outlineLevel="0" collapsed="false">
      <c r="A168" s="22" t="s">
        <v>920</v>
      </c>
      <c r="B168" s="22" t="s">
        <v>921</v>
      </c>
      <c r="C168" s="22" t="s">
        <v>404</v>
      </c>
      <c r="D168" s="22" t="s">
        <v>405</v>
      </c>
      <c r="E168" s="22" t="s">
        <v>404</v>
      </c>
      <c r="F168" s="22" t="s">
        <v>922</v>
      </c>
      <c r="G168" s="27" t="n">
        <v>0.01</v>
      </c>
      <c r="H168" s="22" t="s">
        <v>408</v>
      </c>
      <c r="I168" s="22" t="s">
        <v>409</v>
      </c>
      <c r="J168" s="1"/>
      <c r="K168" s="1"/>
      <c r="L168" s="1"/>
      <c r="M168" s="1"/>
      <c r="N168" s="26"/>
      <c r="O168" s="1"/>
    </row>
    <row r="169" customFormat="false" ht="15" hidden="false" customHeight="false" outlineLevel="0" collapsed="false">
      <c r="A169" s="22" t="s">
        <v>923</v>
      </c>
      <c r="B169" s="22" t="s">
        <v>924</v>
      </c>
      <c r="C169" s="22" t="s">
        <v>404</v>
      </c>
      <c r="D169" s="22" t="s">
        <v>405</v>
      </c>
      <c r="E169" s="22" t="s">
        <v>404</v>
      </c>
      <c r="F169" s="22" t="s">
        <v>925</v>
      </c>
      <c r="G169" s="27" t="n">
        <v>0.01</v>
      </c>
      <c r="H169" s="22" t="s">
        <v>408</v>
      </c>
      <c r="I169" s="22" t="s">
        <v>409</v>
      </c>
      <c r="J169" s="1"/>
      <c r="K169" s="1"/>
      <c r="L169" s="1"/>
      <c r="M169" s="1"/>
      <c r="N169" s="28"/>
      <c r="O169" s="1"/>
    </row>
    <row r="170" customFormat="false" ht="15" hidden="false" customHeight="false" outlineLevel="0" collapsed="false">
      <c r="A170" s="22" t="s">
        <v>926</v>
      </c>
      <c r="B170" s="22" t="s">
        <v>927</v>
      </c>
      <c r="C170" s="22" t="s">
        <v>404</v>
      </c>
      <c r="D170" s="22" t="s">
        <v>405</v>
      </c>
      <c r="E170" s="22" t="s">
        <v>404</v>
      </c>
      <c r="F170" s="22" t="s">
        <v>928</v>
      </c>
      <c r="G170" s="27" t="n">
        <v>0.01</v>
      </c>
      <c r="H170" s="22" t="s">
        <v>408</v>
      </c>
      <c r="I170" s="22" t="s">
        <v>409</v>
      </c>
      <c r="J170" s="1"/>
      <c r="K170" s="1"/>
      <c r="L170" s="1"/>
      <c r="M170" s="1"/>
      <c r="N170" s="26"/>
      <c r="O170" s="1"/>
    </row>
    <row r="171" customFormat="false" ht="15" hidden="false" customHeight="false" outlineLevel="0" collapsed="false">
      <c r="A171" s="22" t="s">
        <v>929</v>
      </c>
      <c r="B171" s="22" t="s">
        <v>930</v>
      </c>
      <c r="C171" s="22" t="s">
        <v>404</v>
      </c>
      <c r="D171" s="22" t="s">
        <v>405</v>
      </c>
      <c r="E171" s="22" t="s">
        <v>404</v>
      </c>
      <c r="F171" s="22" t="s">
        <v>931</v>
      </c>
      <c r="G171" s="27" t="n">
        <v>0.01</v>
      </c>
      <c r="H171" s="22" t="s">
        <v>408</v>
      </c>
      <c r="I171" s="22" t="s">
        <v>409</v>
      </c>
      <c r="J171" s="1"/>
      <c r="K171" s="1"/>
      <c r="L171" s="1"/>
      <c r="M171" s="1"/>
      <c r="N171" s="28"/>
      <c r="O171" s="1"/>
    </row>
    <row r="172" customFormat="false" ht="15" hidden="false" customHeight="false" outlineLevel="0" collapsed="false">
      <c r="A172" s="22" t="s">
        <v>932</v>
      </c>
      <c r="B172" s="22" t="s">
        <v>933</v>
      </c>
      <c r="C172" s="22" t="s">
        <v>404</v>
      </c>
      <c r="D172" s="22" t="s">
        <v>405</v>
      </c>
      <c r="E172" s="22" t="s">
        <v>404</v>
      </c>
      <c r="F172" s="22" t="s">
        <v>934</v>
      </c>
      <c r="G172" s="27" t="n">
        <v>0.01</v>
      </c>
      <c r="H172" s="22" t="s">
        <v>408</v>
      </c>
      <c r="I172" s="22" t="s">
        <v>409</v>
      </c>
      <c r="J172" s="1"/>
      <c r="K172" s="1"/>
      <c r="L172" s="1"/>
      <c r="M172" s="1"/>
      <c r="N172" s="26"/>
      <c r="O172" s="1"/>
    </row>
    <row r="173" customFormat="false" ht="15" hidden="false" customHeight="false" outlineLevel="0" collapsed="false">
      <c r="A173" s="22" t="s">
        <v>935</v>
      </c>
      <c r="B173" s="22" t="s">
        <v>936</v>
      </c>
      <c r="C173" s="22" t="s">
        <v>404</v>
      </c>
      <c r="D173" s="22" t="s">
        <v>405</v>
      </c>
      <c r="E173" s="22" t="s">
        <v>404</v>
      </c>
      <c r="F173" s="22" t="s">
        <v>937</v>
      </c>
      <c r="G173" s="27" t="n">
        <v>0.01</v>
      </c>
      <c r="H173" s="22" t="s">
        <v>408</v>
      </c>
      <c r="I173" s="22" t="s">
        <v>409</v>
      </c>
      <c r="J173" s="1"/>
      <c r="K173" s="1"/>
      <c r="L173" s="1"/>
      <c r="M173" s="1"/>
      <c r="N173" s="28"/>
      <c r="O173" s="1"/>
    </row>
    <row r="174" customFormat="false" ht="15" hidden="false" customHeight="false" outlineLevel="0" collapsed="false">
      <c r="A174" s="22" t="s">
        <v>938</v>
      </c>
      <c r="B174" s="22" t="s">
        <v>939</v>
      </c>
      <c r="C174" s="22" t="s">
        <v>404</v>
      </c>
      <c r="D174" s="22" t="s">
        <v>405</v>
      </c>
      <c r="E174" s="22" t="s">
        <v>404</v>
      </c>
      <c r="F174" s="22" t="s">
        <v>940</v>
      </c>
      <c r="G174" s="27" t="n">
        <v>0.01</v>
      </c>
      <c r="H174" s="22" t="s">
        <v>408</v>
      </c>
      <c r="I174" s="22" t="s">
        <v>409</v>
      </c>
      <c r="J174" s="1"/>
      <c r="K174" s="1"/>
      <c r="L174" s="1"/>
      <c r="M174" s="1"/>
      <c r="N174" s="26"/>
      <c r="O174" s="1"/>
    </row>
    <row r="175" customFormat="false" ht="15" hidden="false" customHeight="false" outlineLevel="0" collapsed="false">
      <c r="A175" s="1" t="s">
        <v>941</v>
      </c>
      <c r="B175" s="1" t="s">
        <v>942</v>
      </c>
      <c r="C175" s="1" t="s">
        <v>941</v>
      </c>
      <c r="D175" s="22" t="s">
        <v>943</v>
      </c>
      <c r="E175" s="1" t="s">
        <v>944</v>
      </c>
      <c r="F175" s="1" t="s">
        <v>945</v>
      </c>
      <c r="G175" s="27" t="n">
        <v>0.5</v>
      </c>
      <c r="H175" s="22" t="s">
        <v>946</v>
      </c>
      <c r="I175" s="1" t="s">
        <v>947</v>
      </c>
      <c r="J175" s="1"/>
      <c r="K175" s="1"/>
      <c r="L175" s="1"/>
      <c r="M175" s="1"/>
      <c r="N175" s="28"/>
      <c r="O175" s="1" t="s">
        <v>35</v>
      </c>
    </row>
    <row r="176" customFormat="false" ht="17.9" hidden="false" customHeight="false" outlineLevel="0" collapsed="false">
      <c r="A176" s="29" t="s">
        <v>948</v>
      </c>
      <c r="B176" s="1" t="s">
        <v>949</v>
      </c>
      <c r="C176" s="1" t="s">
        <v>948</v>
      </c>
      <c r="D176" s="22" t="s">
        <v>943</v>
      </c>
      <c r="E176" s="1" t="s">
        <v>944</v>
      </c>
      <c r="F176" s="1" t="n">
        <v>100</v>
      </c>
      <c r="G176" s="27" t="n">
        <v>0.5</v>
      </c>
      <c r="H176" s="22" t="s">
        <v>946</v>
      </c>
      <c r="I176" s="1" t="s">
        <v>947</v>
      </c>
      <c r="J176" s="1"/>
      <c r="K176" s="1"/>
      <c r="L176" s="1"/>
      <c r="M176" s="1"/>
      <c r="N176" s="1"/>
      <c r="O176" s="1" t="s">
        <v>35</v>
      </c>
    </row>
    <row r="177" customFormat="false" ht="17.9" hidden="false" customHeight="false" outlineLevel="0" collapsed="false">
      <c r="A177" s="29" t="s">
        <v>950</v>
      </c>
      <c r="B177" s="1" t="s">
        <v>951</v>
      </c>
      <c r="C177" s="1" t="s">
        <v>950</v>
      </c>
      <c r="D177" s="22" t="s">
        <v>943</v>
      </c>
      <c r="E177" s="1" t="s">
        <v>944</v>
      </c>
      <c r="F177" s="1" t="s">
        <v>952</v>
      </c>
      <c r="G177" s="27" t="n">
        <v>0.5</v>
      </c>
      <c r="H177" s="22" t="s">
        <v>946</v>
      </c>
      <c r="I177" s="1" t="s">
        <v>947</v>
      </c>
      <c r="J177" s="1"/>
      <c r="K177" s="1"/>
      <c r="L177" s="1"/>
      <c r="M177" s="1"/>
      <c r="N177" s="1"/>
      <c r="O177" s="1" t="s">
        <v>35</v>
      </c>
    </row>
    <row r="178" customFormat="false" ht="15" hidden="false" customHeight="false" outlineLevel="0" collapsed="false">
      <c r="A178" s="22" t="s">
        <v>953</v>
      </c>
      <c r="B178" s="22" t="s">
        <v>954</v>
      </c>
      <c r="C178" s="22" t="s">
        <v>404</v>
      </c>
      <c r="D178" s="22" t="s">
        <v>405</v>
      </c>
      <c r="E178" s="22" t="s">
        <v>404</v>
      </c>
      <c r="F178" s="22" t="s">
        <v>955</v>
      </c>
      <c r="G178" s="27" t="n">
        <v>0.01</v>
      </c>
      <c r="H178" s="22" t="s">
        <v>607</v>
      </c>
      <c r="I178" s="22" t="s">
        <v>608</v>
      </c>
      <c r="J178" s="1"/>
      <c r="K178" s="1"/>
      <c r="L178" s="1"/>
      <c r="M178" s="1"/>
      <c r="N178" s="1"/>
      <c r="O178" s="1"/>
    </row>
    <row r="179" customFormat="false" ht="15" hidden="false" customHeight="false" outlineLevel="0" collapsed="false">
      <c r="A179" s="1" t="s">
        <v>956</v>
      </c>
      <c r="B179" s="1" t="s">
        <v>957</v>
      </c>
      <c r="C179" s="1" t="s">
        <v>404</v>
      </c>
      <c r="D179" s="22" t="s">
        <v>405</v>
      </c>
      <c r="E179" s="22" t="s">
        <v>404</v>
      </c>
      <c r="F179" s="22" t="s">
        <v>958</v>
      </c>
      <c r="G179" s="27" t="n">
        <v>0.01</v>
      </c>
      <c r="H179" s="22" t="s">
        <v>671</v>
      </c>
      <c r="I179" s="22" t="s">
        <v>672</v>
      </c>
      <c r="J179" s="1"/>
      <c r="K179" s="1"/>
      <c r="L179" s="1"/>
      <c r="M179" s="1"/>
      <c r="N179" s="1"/>
      <c r="O179" s="1"/>
    </row>
    <row r="180" customFormat="false" ht="15" hidden="false" customHeight="false" outlineLevel="0" collapsed="false">
      <c r="A180" s="22" t="s">
        <v>959</v>
      </c>
      <c r="B180" s="22" t="s">
        <v>960</v>
      </c>
      <c r="C180" s="22" t="s">
        <v>404</v>
      </c>
      <c r="D180" s="22" t="s">
        <v>405</v>
      </c>
      <c r="E180" s="22" t="s">
        <v>404</v>
      </c>
      <c r="F180" s="22" t="s">
        <v>961</v>
      </c>
      <c r="G180" s="27" t="n">
        <v>0.01</v>
      </c>
      <c r="H180" s="22" t="s">
        <v>408</v>
      </c>
      <c r="I180" s="22" t="s">
        <v>409</v>
      </c>
      <c r="J180" s="1"/>
      <c r="K180" s="1"/>
      <c r="L180" s="1"/>
      <c r="M180" s="1"/>
      <c r="N180" s="30"/>
      <c r="O180" s="1"/>
    </row>
    <row r="181" customFormat="false" ht="15" hidden="false" customHeight="false" outlineLevel="0" collapsed="false">
      <c r="A181" s="1" t="s">
        <v>962</v>
      </c>
      <c r="B181" s="1" t="s">
        <v>963</v>
      </c>
      <c r="C181" s="1" t="s">
        <v>404</v>
      </c>
      <c r="D181" s="1" t="s">
        <v>405</v>
      </c>
      <c r="E181" s="1" t="s">
        <v>404</v>
      </c>
      <c r="F181" s="1" t="n">
        <v>0.22</v>
      </c>
      <c r="G181" s="27" t="n">
        <v>0.01</v>
      </c>
      <c r="H181" s="1" t="s">
        <v>607</v>
      </c>
      <c r="I181" s="1" t="s">
        <v>608</v>
      </c>
      <c r="J181" s="1"/>
      <c r="K181" s="1"/>
      <c r="L181" s="1"/>
      <c r="M181" s="1"/>
      <c r="N181" s="1"/>
      <c r="O181" s="1"/>
    </row>
    <row r="182" customFormat="false" ht="15" hidden="false" customHeight="false" outlineLevel="0" collapsed="false">
      <c r="A182" s="1" t="s">
        <v>964</v>
      </c>
      <c r="B182" s="1" t="s">
        <v>965</v>
      </c>
      <c r="C182" s="1" t="s">
        <v>964</v>
      </c>
      <c r="D182" s="1" t="s">
        <v>405</v>
      </c>
      <c r="E182" s="1" t="s">
        <v>404</v>
      </c>
      <c r="F182" s="1" t="s">
        <v>966</v>
      </c>
      <c r="G182" s="27" t="n">
        <v>0.01</v>
      </c>
      <c r="H182" s="22" t="s">
        <v>408</v>
      </c>
      <c r="I182" s="22" t="s">
        <v>409</v>
      </c>
      <c r="J182" s="1"/>
      <c r="K182" s="1"/>
      <c r="L182" s="1"/>
      <c r="M182" s="1"/>
      <c r="N182" s="1"/>
      <c r="O182" s="1" t="s">
        <v>35</v>
      </c>
    </row>
    <row r="183" customFormat="false" ht="15" hidden="false" customHeight="false" outlineLevel="0" collapsed="false">
      <c r="A183" s="22" t="s">
        <v>967</v>
      </c>
      <c r="B183" s="22" t="s">
        <v>628</v>
      </c>
      <c r="C183" s="22" t="s">
        <v>404</v>
      </c>
      <c r="D183" s="22" t="s">
        <v>405</v>
      </c>
      <c r="E183" s="22" t="s">
        <v>404</v>
      </c>
      <c r="F183" s="22" t="s">
        <v>629</v>
      </c>
      <c r="G183" s="27" t="n">
        <v>0.01</v>
      </c>
      <c r="H183" s="22" t="s">
        <v>968</v>
      </c>
      <c r="I183" s="22" t="s">
        <v>969</v>
      </c>
      <c r="J183" s="22"/>
      <c r="K183" s="1"/>
      <c r="L183" s="1"/>
      <c r="M183" s="1"/>
      <c r="N183" s="31"/>
      <c r="O183" s="1" t="s">
        <v>35</v>
      </c>
    </row>
    <row r="184" customFormat="false" ht="15" hidden="false" customHeight="true" outlineLevel="0" collapsed="false">
      <c r="A184" s="22" t="s">
        <v>970</v>
      </c>
      <c r="B184" s="22" t="s">
        <v>683</v>
      </c>
      <c r="C184" s="22" t="s">
        <v>404</v>
      </c>
      <c r="D184" s="22" t="s">
        <v>405</v>
      </c>
      <c r="E184" s="22" t="s">
        <v>404</v>
      </c>
      <c r="F184" s="22" t="s">
        <v>684</v>
      </c>
      <c r="G184" s="27" t="n">
        <v>0.01</v>
      </c>
      <c r="H184" s="22" t="s">
        <v>968</v>
      </c>
      <c r="I184" s="22" t="s">
        <v>969</v>
      </c>
      <c r="J184" s="1"/>
      <c r="K184" s="1"/>
      <c r="L184" s="1"/>
      <c r="M184" s="1"/>
      <c r="N184" s="32"/>
      <c r="O184" s="1" t="s">
        <v>35</v>
      </c>
    </row>
    <row r="185" customFormat="false" ht="15" hidden="false" customHeight="true" outlineLevel="0" collapsed="false">
      <c r="A185" s="22" t="s">
        <v>971</v>
      </c>
      <c r="B185" s="22" t="s">
        <v>601</v>
      </c>
      <c r="C185" s="22" t="s">
        <v>404</v>
      </c>
      <c r="D185" s="22" t="s">
        <v>405</v>
      </c>
      <c r="E185" s="22" t="s">
        <v>404</v>
      </c>
      <c r="F185" s="22" t="s">
        <v>602</v>
      </c>
      <c r="G185" s="27" t="n">
        <v>0.01</v>
      </c>
      <c r="H185" s="22" t="s">
        <v>968</v>
      </c>
      <c r="I185" s="22" t="s">
        <v>969</v>
      </c>
      <c r="J185" s="1"/>
      <c r="K185" s="1"/>
      <c r="L185" s="1"/>
      <c r="M185" s="1"/>
      <c r="N185" s="1"/>
      <c r="O185" s="1" t="s">
        <v>35</v>
      </c>
    </row>
    <row r="186" customFormat="false" ht="15" hidden="false" customHeight="false" outlineLevel="0" collapsed="false">
      <c r="A186" s="1" t="s">
        <v>972</v>
      </c>
      <c r="B186" s="22" t="s">
        <v>536</v>
      </c>
      <c r="C186" s="22" t="s">
        <v>404</v>
      </c>
      <c r="D186" s="22" t="s">
        <v>405</v>
      </c>
      <c r="E186" s="22" t="s">
        <v>404</v>
      </c>
      <c r="F186" s="1" t="n">
        <v>68</v>
      </c>
      <c r="G186" s="27" t="n">
        <v>0.01</v>
      </c>
      <c r="H186" s="22" t="s">
        <v>607</v>
      </c>
      <c r="I186" s="22" t="s">
        <v>608</v>
      </c>
      <c r="J186" s="1"/>
      <c r="K186" s="1"/>
      <c r="L186" s="1"/>
      <c r="M186" s="1"/>
      <c r="N186" s="1"/>
      <c r="O186" s="1" t="s">
        <v>146</v>
      </c>
    </row>
    <row r="187" customFormat="false" ht="15" hidden="false" customHeight="false" outlineLevel="0" collapsed="false">
      <c r="A187" s="1" t="s">
        <v>973</v>
      </c>
      <c r="B187" s="22" t="s">
        <v>512</v>
      </c>
      <c r="C187" s="22" t="s">
        <v>404</v>
      </c>
      <c r="D187" s="22" t="s">
        <v>405</v>
      </c>
      <c r="E187" s="22" t="s">
        <v>404</v>
      </c>
      <c r="F187" s="1" t="n">
        <v>33</v>
      </c>
      <c r="G187" s="27" t="n">
        <v>0.01</v>
      </c>
      <c r="H187" s="22" t="s">
        <v>607</v>
      </c>
      <c r="I187" s="22" t="s">
        <v>608</v>
      </c>
      <c r="J187" s="1"/>
      <c r="K187" s="1"/>
      <c r="L187" s="1"/>
      <c r="M187" s="1"/>
      <c r="N187" s="1"/>
      <c r="O187" s="1" t="s">
        <v>146</v>
      </c>
    </row>
    <row r="188" customFormat="false" ht="15" hidden="false" customHeight="false" outlineLevel="0" collapsed="false">
      <c r="A188" s="22" t="s">
        <v>974</v>
      </c>
      <c r="B188" s="22" t="s">
        <v>524</v>
      </c>
      <c r="C188" s="22" t="s">
        <v>404</v>
      </c>
      <c r="D188" s="22" t="s">
        <v>405</v>
      </c>
      <c r="E188" s="22" t="s">
        <v>404</v>
      </c>
      <c r="F188" s="22" t="s">
        <v>525</v>
      </c>
      <c r="G188" s="27" t="n">
        <v>0.01</v>
      </c>
      <c r="H188" s="22" t="s">
        <v>975</v>
      </c>
      <c r="I188" s="22" t="s">
        <v>976</v>
      </c>
      <c r="J188" s="1"/>
      <c r="K188" s="1"/>
      <c r="L188" s="1"/>
      <c r="M188" s="1"/>
      <c r="N188" s="30"/>
      <c r="O188" s="1" t="s">
        <v>146</v>
      </c>
    </row>
    <row r="189" customFormat="false" ht="15" hidden="false" customHeight="false" outlineLevel="0" collapsed="false">
      <c r="A189" s="1" t="s">
        <v>977</v>
      </c>
      <c r="B189" s="22" t="s">
        <v>978</v>
      </c>
      <c r="C189" s="22" t="s">
        <v>404</v>
      </c>
      <c r="D189" s="22" t="s">
        <v>405</v>
      </c>
      <c r="E189" s="22" t="s">
        <v>404</v>
      </c>
      <c r="F189" s="22" t="s">
        <v>945</v>
      </c>
      <c r="G189" s="27" t="n">
        <v>0.01</v>
      </c>
      <c r="H189" s="22" t="s">
        <v>975</v>
      </c>
      <c r="I189" s="22" t="s">
        <v>976</v>
      </c>
      <c r="J189" s="1"/>
      <c r="K189" s="1"/>
      <c r="L189" s="1"/>
      <c r="M189" s="1"/>
      <c r="N189" s="30"/>
      <c r="O189" s="1" t="s">
        <v>146</v>
      </c>
    </row>
    <row r="190" customFormat="false" ht="15" hidden="false" customHeight="false" outlineLevel="0" collapsed="false">
      <c r="A190" s="22" t="s">
        <v>979</v>
      </c>
      <c r="B190" s="22" t="s">
        <v>980</v>
      </c>
      <c r="C190" s="22" t="s">
        <v>404</v>
      </c>
      <c r="D190" s="22" t="s">
        <v>405</v>
      </c>
      <c r="E190" s="22" t="s">
        <v>404</v>
      </c>
      <c r="F190" s="22" t="s">
        <v>981</v>
      </c>
      <c r="G190" s="33" t="n">
        <v>0.05</v>
      </c>
      <c r="H190" s="22" t="s">
        <v>408</v>
      </c>
      <c r="I190" s="22" t="s">
        <v>409</v>
      </c>
      <c r="J190" s="1"/>
      <c r="K190" s="1"/>
      <c r="L190" s="1"/>
      <c r="M190" s="1"/>
      <c r="N190" s="30"/>
      <c r="O190" s="1" t="s">
        <v>146</v>
      </c>
    </row>
    <row r="191" customFormat="false" ht="15" hidden="false" customHeight="false" outlineLevel="0" collapsed="false">
      <c r="A191" s="22" t="s">
        <v>982</v>
      </c>
      <c r="B191" s="22" t="s">
        <v>554</v>
      </c>
      <c r="C191" s="22" t="s">
        <v>404</v>
      </c>
      <c r="D191" s="22" t="s">
        <v>405</v>
      </c>
      <c r="E191" s="22" t="s">
        <v>404</v>
      </c>
      <c r="F191" s="22" t="s">
        <v>555</v>
      </c>
      <c r="G191" s="27" t="n">
        <v>0.01</v>
      </c>
      <c r="H191" s="22" t="s">
        <v>556</v>
      </c>
      <c r="I191" s="1" t="s">
        <v>557</v>
      </c>
      <c r="J191" s="1"/>
      <c r="K191" s="1"/>
      <c r="L191" s="1"/>
      <c r="M191" s="1"/>
      <c r="N191" s="30"/>
      <c r="O191" s="1" t="s">
        <v>146</v>
      </c>
    </row>
    <row r="192" customFormat="false" ht="15" hidden="false" customHeight="false" outlineLevel="0" collapsed="false">
      <c r="A192" s="22" t="s">
        <v>983</v>
      </c>
      <c r="B192" s="22" t="s">
        <v>554</v>
      </c>
      <c r="C192" s="22" t="s">
        <v>404</v>
      </c>
      <c r="D192" s="22" t="s">
        <v>405</v>
      </c>
      <c r="E192" s="22" t="s">
        <v>404</v>
      </c>
      <c r="F192" s="22" t="s">
        <v>984</v>
      </c>
      <c r="G192" s="27" t="n">
        <v>0.02</v>
      </c>
      <c r="H192" s="22" t="s">
        <v>556</v>
      </c>
      <c r="I192" s="1" t="s">
        <v>985</v>
      </c>
      <c r="J192" s="1"/>
      <c r="K192" s="1"/>
      <c r="L192" s="1"/>
      <c r="M192" s="1"/>
      <c r="N192" s="30"/>
      <c r="O192" s="1" t="s">
        <v>146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7" activeCellId="0" sqref="K7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.43"/>
    <col collapsed="false" customWidth="true" hidden="false" outlineLevel="0" max="2" min="2" style="0" width="40.72"/>
    <col collapsed="false" customWidth="true" hidden="false" outlineLevel="0" max="3" min="3" style="0" width="12.72"/>
    <col collapsed="false" customWidth="true" hidden="false" outlineLevel="0" max="4" min="4" style="0" width="28.57"/>
    <col collapsed="false" customWidth="true" hidden="false" outlineLevel="0" max="5" min="5" style="0" width="14.71"/>
    <col collapsed="false" customWidth="true" hidden="false" outlineLevel="0" max="6" min="6" style="0" width="20.72"/>
    <col collapsed="false" customWidth="true" hidden="false" outlineLevel="0" max="7" min="7" style="0" width="14.29"/>
    <col collapsed="false" customWidth="true" hidden="false" outlineLevel="0" max="8" min="8" style="0" width="13.14"/>
    <col collapsed="false" customWidth="true" hidden="false" outlineLevel="0" max="10" min="9" style="0" width="13.29"/>
    <col collapsed="false" customWidth="true" hidden="false" outlineLevel="0" max="11" min="11" style="0" width="12.29"/>
  </cols>
  <sheetData>
    <row r="1" customFormat="false" ht="15" hidden="false" customHeight="false" outlineLevel="0" collapsed="false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233</v>
      </c>
      <c r="I1" s="34" t="s">
        <v>986</v>
      </c>
      <c r="J1" s="34" t="s">
        <v>263</v>
      </c>
      <c r="K1" s="34" t="s">
        <v>11</v>
      </c>
      <c r="L1" s="1" t="s">
        <v>12</v>
      </c>
    </row>
    <row r="2" customFormat="false" ht="15" hidden="false" customHeight="false" outlineLevel="0" collapsed="false">
      <c r="A2" s="35" t="s">
        <v>987</v>
      </c>
      <c r="B2" s="36" t="str">
        <f aca="false">CONCATENATE("Выпрямительный диод на ", H2," В, ном. ток ", I2," А")</f>
        <v>Выпрямительный диод на 1000 В, ном. ток 2 А А</v>
      </c>
      <c r="C2" s="36" t="str">
        <f aca="false">A2</f>
        <v>S2M</v>
      </c>
      <c r="D2" s="36" t="s">
        <v>988</v>
      </c>
      <c r="E2" s="36" t="s">
        <v>989</v>
      </c>
      <c r="F2" s="36" t="str">
        <f aca="false">CONCATENATE("Footprints\",G2,".PcbLib")</f>
        <v>Footprints\SMB.PcbLib</v>
      </c>
      <c r="G2" s="36" t="s">
        <v>300</v>
      </c>
      <c r="H2" s="36" t="n">
        <v>1000</v>
      </c>
      <c r="I2" s="37" t="s">
        <v>262</v>
      </c>
      <c r="J2" s="2"/>
      <c r="L2" s="3" t="s">
        <v>35</v>
      </c>
    </row>
    <row r="3" customFormat="false" ht="15" hidden="false" customHeight="false" outlineLevel="0" collapsed="false">
      <c r="A3" s="2" t="s">
        <v>990</v>
      </c>
      <c r="B3" s="2" t="s">
        <v>991</v>
      </c>
      <c r="C3" s="2" t="s">
        <v>990</v>
      </c>
      <c r="D3" s="2" t="s">
        <v>988</v>
      </c>
      <c r="E3" s="2" t="s">
        <v>989</v>
      </c>
      <c r="F3" s="2" t="s">
        <v>992</v>
      </c>
      <c r="G3" s="2" t="s">
        <v>251</v>
      </c>
      <c r="H3" s="2" t="s">
        <v>572</v>
      </c>
      <c r="I3" s="2" t="s">
        <v>993</v>
      </c>
      <c r="J3" s="2"/>
    </row>
    <row r="4" customFormat="false" ht="16.4" hidden="false" customHeight="false" outlineLevel="0" collapsed="false">
      <c r="A4" s="0" t="s">
        <v>994</v>
      </c>
      <c r="B4" s="0" t="s">
        <v>995</v>
      </c>
      <c r="C4" s="0" t="s">
        <v>994</v>
      </c>
      <c r="D4" s="2" t="s">
        <v>988</v>
      </c>
      <c r="E4" s="2" t="s">
        <v>989</v>
      </c>
      <c r="F4" s="2" t="s">
        <v>996</v>
      </c>
      <c r="G4" s="3" t="s">
        <v>997</v>
      </c>
      <c r="H4" s="0" t="n">
        <v>400</v>
      </c>
      <c r="I4" s="2" t="s">
        <v>993</v>
      </c>
      <c r="K4" s="11" t="s">
        <v>998</v>
      </c>
      <c r="L4" s="3" t="s">
        <v>35</v>
      </c>
    </row>
    <row r="5" customFormat="false" ht="16.4" hidden="false" customHeight="false" outlineLevel="0" collapsed="false">
      <c r="A5" s="0" t="s">
        <v>999</v>
      </c>
      <c r="B5" s="36" t="str">
        <f aca="false">CONCATENATE("Выпрямительный диод на ", H5," В, ном. ток ", I5," А")</f>
        <v>Выпрямительный диод на 1000 В, ном. ток 1 А А</v>
      </c>
      <c r="C5" s="36" t="str">
        <f aca="false">A5</f>
        <v>SMA4007</v>
      </c>
      <c r="D5" s="36" t="s">
        <v>988</v>
      </c>
      <c r="E5" s="36" t="s">
        <v>989</v>
      </c>
      <c r="F5" s="2" t="s">
        <v>992</v>
      </c>
      <c r="G5" s="2" t="s">
        <v>251</v>
      </c>
      <c r="H5" s="36" t="n">
        <v>1000</v>
      </c>
      <c r="I5" s="2" t="s">
        <v>993</v>
      </c>
      <c r="K5" s="11" t="s">
        <v>1000</v>
      </c>
      <c r="L5" s="3" t="s">
        <v>146</v>
      </c>
    </row>
    <row r="6" customFormat="false" ht="16.4" hidden="false" customHeight="false" outlineLevel="0" collapsed="false">
      <c r="A6" s="0" t="s">
        <v>1001</v>
      </c>
      <c r="B6" s="0" t="s">
        <v>1002</v>
      </c>
      <c r="C6" s="36" t="str">
        <f aca="false">A6</f>
        <v>BAV99</v>
      </c>
      <c r="D6" s="36" t="s">
        <v>1003</v>
      </c>
      <c r="E6" s="36" t="s">
        <v>1004</v>
      </c>
      <c r="F6" s="3" t="str">
        <f aca="false">CONCATENATE("Footprints\",G6,".PcbLib")</f>
        <v>Footprints\SOT23-3.PcbLib</v>
      </c>
      <c r="G6" s="3" t="s">
        <v>192</v>
      </c>
      <c r="H6" s="0" t="n">
        <v>70</v>
      </c>
      <c r="I6" s="3" t="s">
        <v>1005</v>
      </c>
      <c r="K6" s="11" t="s">
        <v>1006</v>
      </c>
      <c r="L6" s="3" t="s">
        <v>146</v>
      </c>
    </row>
  </sheetData>
  <hyperlinks>
    <hyperlink ref="K4" r:id="rId1" display="https://static.chipdip.ru/lib/868/DOC011868843.pdf"/>
    <hyperlink ref="K5" r:id="rId2" display="https://static.chipdip.ru/lib/867/DOC050867185.pdf"/>
    <hyperlink ref="K6" r:id="rId3" display="https://static.chipdip.ru/lib/931/DOC03093155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4"/>
  <sheetViews>
    <sheetView showFormulas="false" showGridLines="true" showRowColHeaders="true" showZeros="true" rightToLeft="false" tabSelected="false" showOutlineSymbols="true" defaultGridColor="true" view="normal" topLeftCell="G1" colorId="64" zoomScale="55" zoomScaleNormal="55" zoomScalePageLayoutView="100" workbookViewId="0">
      <selection pane="topLeft" activeCell="V1" activeCellId="0" sqref="V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5.43"/>
    <col collapsed="false" customWidth="true" hidden="false" outlineLevel="0" max="2" min="2" style="0" width="23.28"/>
    <col collapsed="false" customWidth="true" hidden="false" outlineLevel="0" max="3" min="3" style="0" width="15.43"/>
    <col collapsed="false" customWidth="true" hidden="false" outlineLevel="0" max="4" min="4" style="0" width="32"/>
    <col collapsed="false" customWidth="true" hidden="false" outlineLevel="0" max="5" min="5" style="0" width="15.43"/>
    <col collapsed="false" customWidth="true" hidden="false" outlineLevel="0" max="6" min="6" style="0" width="8.72"/>
    <col collapsed="false" customWidth="true" hidden="false" outlineLevel="0" max="7" min="7" style="0" width="33.57"/>
    <col collapsed="false" customWidth="true" hidden="false" outlineLevel="0" max="8" min="8" style="0" width="17.29"/>
    <col collapsed="false" customWidth="true" hidden="false" outlineLevel="0" max="9" min="9" style="0" width="33.57"/>
    <col collapsed="false" customWidth="true" hidden="false" outlineLevel="0" max="10" min="10" style="0" width="17.29"/>
    <col collapsed="false" customWidth="true" hidden="false" outlineLevel="0" max="11" min="11" style="0" width="33.57"/>
    <col collapsed="false" customWidth="true" hidden="false" outlineLevel="0" max="12" min="12" style="0" width="17.29"/>
    <col collapsed="false" customWidth="true" hidden="false" outlineLevel="0" max="13" min="13" style="0" width="32.72"/>
    <col collapsed="false" customWidth="true" hidden="false" outlineLevel="0" max="14" min="14" style="0" width="17.29"/>
    <col collapsed="false" customWidth="true" hidden="false" outlineLevel="0" max="15" min="15" style="0" width="32.43"/>
    <col collapsed="false" customWidth="true" hidden="false" outlineLevel="0" max="16" min="16" style="0" width="17.29"/>
    <col collapsed="false" customWidth="true" hidden="false" outlineLevel="0" max="17" min="17" style="0" width="42.29"/>
    <col collapsed="false" customWidth="true" hidden="false" outlineLevel="0" max="18" min="18" style="0" width="17.29"/>
    <col collapsed="false" customWidth="true" hidden="false" outlineLevel="0" max="19" min="19" style="0" width="42.43"/>
    <col collapsed="false" customWidth="true" hidden="false" outlineLevel="0" max="20" min="20" style="0" width="17.29"/>
    <col collapsed="false" customWidth="true" hidden="false" outlineLevel="0" max="21" min="21" style="0" width="14.29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264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1007</v>
      </c>
      <c r="N1" s="1" t="s">
        <v>1008</v>
      </c>
      <c r="O1" s="1" t="s">
        <v>1009</v>
      </c>
      <c r="P1" s="1" t="s">
        <v>1010</v>
      </c>
      <c r="Q1" s="1" t="s">
        <v>1011</v>
      </c>
      <c r="R1" s="1" t="s">
        <v>1012</v>
      </c>
      <c r="S1" s="1" t="s">
        <v>1013</v>
      </c>
      <c r="T1" s="1" t="s">
        <v>1014</v>
      </c>
      <c r="U1" s="1" t="s">
        <v>11</v>
      </c>
      <c r="V1" s="1" t="s">
        <v>12</v>
      </c>
    </row>
    <row r="2" customFormat="false" ht="15" hidden="false" customHeight="false" outlineLevel="0" collapsed="false">
      <c r="A2" s="22" t="s">
        <v>1015</v>
      </c>
      <c r="B2" s="22" t="s">
        <v>1016</v>
      </c>
      <c r="C2" s="22" t="s">
        <v>1015</v>
      </c>
      <c r="D2" s="22" t="s">
        <v>1017</v>
      </c>
      <c r="E2" s="22" t="s">
        <v>1015</v>
      </c>
      <c r="F2" s="22" t="s">
        <v>1018</v>
      </c>
      <c r="G2" s="22" t="s">
        <v>1019</v>
      </c>
      <c r="H2" s="22" t="s">
        <v>1020</v>
      </c>
      <c r="I2" s="22" t="s">
        <v>1021</v>
      </c>
      <c r="J2" s="22" t="s">
        <v>1022</v>
      </c>
      <c r="K2" s="38" t="s">
        <v>1023</v>
      </c>
      <c r="L2" s="38" t="s">
        <v>1024</v>
      </c>
      <c r="M2" s="2"/>
      <c r="N2" s="2"/>
      <c r="O2" s="2"/>
      <c r="P2" s="2"/>
      <c r="Q2" s="2"/>
      <c r="R2" s="2"/>
      <c r="S2" s="2"/>
      <c r="T2" s="2"/>
    </row>
    <row r="3" customFormat="false" ht="15" hidden="false" customHeight="false" outlineLevel="0" collapsed="false">
      <c r="A3" s="22" t="s">
        <v>1025</v>
      </c>
      <c r="B3" s="22" t="s">
        <v>1026</v>
      </c>
      <c r="C3" s="22" t="s">
        <v>1025</v>
      </c>
      <c r="D3" s="22" t="s">
        <v>1027</v>
      </c>
      <c r="E3" s="22" t="s">
        <v>1025</v>
      </c>
      <c r="F3" s="22" t="s">
        <v>1028</v>
      </c>
      <c r="G3" s="22" t="s">
        <v>1029</v>
      </c>
      <c r="H3" s="22" t="s">
        <v>1030</v>
      </c>
      <c r="I3" s="22" t="s">
        <v>1031</v>
      </c>
      <c r="J3" s="22" t="s">
        <v>1032</v>
      </c>
      <c r="K3" s="22" t="s">
        <v>1033</v>
      </c>
      <c r="L3" s="22" t="s">
        <v>1034</v>
      </c>
      <c r="M3" s="22" t="s">
        <v>1035</v>
      </c>
      <c r="N3" s="22" t="s">
        <v>1036</v>
      </c>
      <c r="O3" s="22" t="s">
        <v>1037</v>
      </c>
      <c r="P3" s="22" t="s">
        <v>1038</v>
      </c>
      <c r="Q3" s="22" t="s">
        <v>1039</v>
      </c>
      <c r="R3" s="2" t="s">
        <v>1040</v>
      </c>
      <c r="S3" s="22" t="s">
        <v>1041</v>
      </c>
      <c r="T3" s="2" t="s">
        <v>1042</v>
      </c>
    </row>
    <row r="4" customFormat="false" ht="15.75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57"/>
  <sheetViews>
    <sheetView showFormulas="false" showGridLines="true" showRowColHeaders="true" showZeros="true" rightToLeft="false" tabSelected="false" showOutlineSymbols="true" defaultGridColor="true" view="normal" topLeftCell="A38" colorId="64" zoomScale="97" zoomScaleNormal="97" zoomScalePageLayoutView="100" workbookViewId="0">
      <selection pane="topLeft" activeCell="M58" activeCellId="0" sqref="M58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32"/>
    <col collapsed="false" customWidth="true" hidden="false" outlineLevel="0" max="2" min="2" style="0" width="53.71"/>
    <col collapsed="false" customWidth="true" hidden="false" outlineLevel="0" max="3" min="3" style="0" width="11.72"/>
    <col collapsed="false" customWidth="true" hidden="false" outlineLevel="0" max="4" min="4" style="0" width="29.57"/>
    <col collapsed="false" customWidth="true" hidden="false" outlineLevel="0" max="5" min="5" style="0" width="25.29"/>
    <col collapsed="false" customWidth="true" hidden="false" outlineLevel="0" max="6" min="6" style="0" width="14.43"/>
    <col collapsed="false" customWidth="true" hidden="false" outlineLevel="0" max="7" min="7" style="0" width="9.71"/>
    <col collapsed="false" customWidth="true" hidden="false" outlineLevel="0" max="8" min="8" style="2" width="12.57"/>
    <col collapsed="false" customWidth="true" hidden="false" outlineLevel="0" max="9" min="9" style="0" width="14.43"/>
    <col collapsed="false" customWidth="true" hidden="false" outlineLevel="0" max="10" min="10" style="0" width="12"/>
    <col collapsed="false" customWidth="true" hidden="false" outlineLevel="0" max="11" min="11" style="0" width="25.71"/>
    <col collapsed="false" customWidth="true" hidden="false" outlineLevel="0" max="12" min="12" style="0" width="15.57"/>
    <col collapsed="false" customWidth="true" hidden="false" outlineLevel="0" max="13" min="13" style="0" width="14.71"/>
    <col collapsed="false" customWidth="true" hidden="false" outlineLevel="0" max="14" min="14" style="0" width="12.29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1" t="s">
        <v>401</v>
      </c>
      <c r="H1" s="42" t="s">
        <v>233</v>
      </c>
      <c r="I1" s="42" t="s">
        <v>1043</v>
      </c>
      <c r="J1" s="40" t="s">
        <v>5</v>
      </c>
      <c r="K1" s="40" t="s">
        <v>6</v>
      </c>
      <c r="L1" s="42" t="s">
        <v>1044</v>
      </c>
      <c r="M1" s="42" t="s">
        <v>11</v>
      </c>
      <c r="N1" s="42" t="s">
        <v>12</v>
      </c>
    </row>
    <row r="2" customFormat="false" ht="15" hidden="false" customHeight="false" outlineLevel="0" collapsed="false">
      <c r="A2" s="43" t="s">
        <v>1045</v>
      </c>
      <c r="B2" s="6" t="str">
        <f aca="false">CONCATENATE("Конденсатор ",K2," ёмкостью ",F2, " ", G2, ", ",H2," В, ",I2)</f>
        <v>Конденсатор 0603C ёмкостью 0,01 н 10%, 50 В, X7R</v>
      </c>
      <c r="C2" s="7" t="s">
        <v>1015</v>
      </c>
      <c r="D2" s="7" t="s">
        <v>1017</v>
      </c>
      <c r="E2" s="7" t="s">
        <v>1015</v>
      </c>
      <c r="F2" s="7" t="s">
        <v>1046</v>
      </c>
      <c r="G2" s="7" t="s">
        <v>1047</v>
      </c>
      <c r="H2" s="7" t="n">
        <v>50</v>
      </c>
      <c r="I2" s="7" t="s">
        <v>1048</v>
      </c>
      <c r="J2" s="7" t="s">
        <v>1019</v>
      </c>
      <c r="K2" s="7" t="s">
        <v>1020</v>
      </c>
      <c r="L2" s="7" t="s">
        <v>1049</v>
      </c>
      <c r="M2" s="44"/>
      <c r="N2" s="2" t="s">
        <v>35</v>
      </c>
    </row>
    <row r="3" customFormat="false" ht="15" hidden="false" customHeight="false" outlineLevel="0" collapsed="false">
      <c r="A3" s="2" t="s">
        <v>1050</v>
      </c>
      <c r="B3" s="6" t="str">
        <f aca="false">CONCATENATE("Конденсатор ",K3," ёмкостью ",F3, " ", G3, ", ",H3," В, ",I3)</f>
        <v>Конденсатор 0603C ёмкостью 100 п 10%, 50 В, X7R</v>
      </c>
      <c r="C3" s="7" t="s">
        <v>1015</v>
      </c>
      <c r="D3" s="7" t="s">
        <v>1017</v>
      </c>
      <c r="E3" s="7" t="s">
        <v>1015</v>
      </c>
      <c r="F3" s="7" t="s">
        <v>1051</v>
      </c>
      <c r="G3" s="7" t="s">
        <v>1047</v>
      </c>
      <c r="H3" s="7" t="n">
        <v>50</v>
      </c>
      <c r="I3" s="7" t="s">
        <v>1048</v>
      </c>
      <c r="J3" s="7" t="s">
        <v>1019</v>
      </c>
      <c r="K3" s="7" t="s">
        <v>1020</v>
      </c>
      <c r="L3" s="7" t="s">
        <v>1052</v>
      </c>
      <c r="M3" s="2"/>
      <c r="N3" s="2"/>
    </row>
    <row r="4" customFormat="false" ht="15" hidden="false" customHeight="false" outlineLevel="0" collapsed="false">
      <c r="A4" s="35" t="s">
        <v>1053</v>
      </c>
      <c r="B4" s="6" t="str">
        <f aca="false">CONCATENATE("Конденсатор ",K4," ёмкостью ",F4, " ", G4, ", ",H4," В, ",I4)</f>
        <v>Конденсатор 0603C ёмкостью 0,15 н 10%, 50 В, X7R</v>
      </c>
      <c r="C4" s="36" t="s">
        <v>1015</v>
      </c>
      <c r="D4" s="36" t="s">
        <v>1017</v>
      </c>
      <c r="E4" s="36" t="s">
        <v>1015</v>
      </c>
      <c r="F4" s="36" t="s">
        <v>1054</v>
      </c>
      <c r="G4" s="7" t="s">
        <v>1047</v>
      </c>
      <c r="H4" s="36" t="n">
        <v>50</v>
      </c>
      <c r="I4" s="36" t="s">
        <v>1048</v>
      </c>
      <c r="J4" s="36" t="s">
        <v>1019</v>
      </c>
      <c r="K4" s="36" t="s">
        <v>1020</v>
      </c>
      <c r="L4" s="36" t="s">
        <v>1055</v>
      </c>
      <c r="M4" s="37"/>
      <c r="N4" s="2"/>
    </row>
    <row r="5" customFormat="false" ht="15" hidden="false" customHeight="false" outlineLevel="0" collapsed="false">
      <c r="A5" s="45" t="s">
        <v>1056</v>
      </c>
      <c r="B5" s="46" t="str">
        <f aca="false">CONCATENATE("Конденсатор ",K5," ёмкостью ",F5, " ", G5, ", ",H5," В, ",I5)</f>
        <v>Конденсатор 0603C ёмкостью 0,75 н 10%, 50 В, X7R</v>
      </c>
      <c r="C5" s="47" t="s">
        <v>1015</v>
      </c>
      <c r="D5" s="47" t="s">
        <v>1017</v>
      </c>
      <c r="E5" s="47" t="s">
        <v>1015</v>
      </c>
      <c r="F5" s="47" t="s">
        <v>1057</v>
      </c>
      <c r="G5" s="47" t="s">
        <v>1047</v>
      </c>
      <c r="H5" s="47" t="n">
        <v>50</v>
      </c>
      <c r="I5" s="47" t="s">
        <v>1048</v>
      </c>
      <c r="J5" s="47" t="s">
        <v>1019</v>
      </c>
      <c r="K5" s="47" t="s">
        <v>1020</v>
      </c>
      <c r="L5" s="47" t="s">
        <v>1058</v>
      </c>
      <c r="M5" s="48"/>
      <c r="N5" s="49"/>
    </row>
    <row r="6" customFormat="false" ht="15" hidden="false" customHeight="false" outlineLevel="0" collapsed="false">
      <c r="A6" s="2" t="s">
        <v>1059</v>
      </c>
      <c r="B6" s="6" t="str">
        <f aca="false">CONCATENATE("Конденсатор ",K6," ёмкостью ",F6, " ", G6, ", ",H6," В, ",I6)</f>
        <v>Конденсатор 0603C ёмкостью 1 н 10%, 50 В, X7R</v>
      </c>
      <c r="C6" s="2" t="s">
        <v>1015</v>
      </c>
      <c r="D6" s="2" t="s">
        <v>1017</v>
      </c>
      <c r="E6" s="2" t="s">
        <v>1015</v>
      </c>
      <c r="F6" s="2" t="s">
        <v>1060</v>
      </c>
      <c r="G6" s="7" t="s">
        <v>1047</v>
      </c>
      <c r="H6" s="2" t="n">
        <v>50</v>
      </c>
      <c r="I6" s="2" t="s">
        <v>1048</v>
      </c>
      <c r="J6" s="2" t="s">
        <v>1019</v>
      </c>
      <c r="K6" s="2" t="s">
        <v>1020</v>
      </c>
      <c r="L6" s="2" t="n">
        <v>1</v>
      </c>
      <c r="M6" s="2"/>
      <c r="N6" s="2"/>
    </row>
    <row r="7" customFormat="false" ht="15" hidden="false" customHeight="false" outlineLevel="0" collapsed="false">
      <c r="A7" s="2" t="s">
        <v>1061</v>
      </c>
      <c r="B7" s="6" t="str">
        <f aca="false">CONCATENATE("Конденсатор ",K7," ёмкостью ",F7, " ", G7, ", ",H7," В, ",I7)</f>
        <v>Конденсатор 0603C ёмкостью 1,2 н 10%, 50 В, X7R</v>
      </c>
      <c r="C7" s="2" t="s">
        <v>1015</v>
      </c>
      <c r="D7" s="2" t="s">
        <v>1017</v>
      </c>
      <c r="E7" s="2" t="s">
        <v>1015</v>
      </c>
      <c r="F7" s="2" t="s">
        <v>1062</v>
      </c>
      <c r="G7" s="7" t="s">
        <v>1047</v>
      </c>
      <c r="H7" s="2" t="n">
        <v>50</v>
      </c>
      <c r="I7" s="2" t="s">
        <v>1048</v>
      </c>
      <c r="J7" s="2" t="s">
        <v>1019</v>
      </c>
      <c r="K7" s="2" t="s">
        <v>1020</v>
      </c>
      <c r="L7" s="2" t="n">
        <v>1.2</v>
      </c>
      <c r="M7" s="2"/>
      <c r="N7" s="2"/>
    </row>
    <row r="8" customFormat="false" ht="15" hidden="false" customHeight="false" outlineLevel="0" collapsed="false">
      <c r="A8" s="2" t="s">
        <v>1063</v>
      </c>
      <c r="B8" s="6" t="str">
        <f aca="false">CONCATENATE("Конденсатор ",K8," ёмкостью ",F8, " ", G8, ", ",H8," В, ",I8)</f>
        <v>Конденсатор 0603C ёмкостью 1,5 н 10%, 50 В, X7R</v>
      </c>
      <c r="C8" s="2" t="s">
        <v>1015</v>
      </c>
      <c r="D8" s="2" t="s">
        <v>1017</v>
      </c>
      <c r="E8" s="2" t="s">
        <v>1015</v>
      </c>
      <c r="F8" s="2" t="s">
        <v>1064</v>
      </c>
      <c r="G8" s="7" t="s">
        <v>1047</v>
      </c>
      <c r="H8" s="2" t="n">
        <v>50</v>
      </c>
      <c r="I8" s="2" t="s">
        <v>1048</v>
      </c>
      <c r="J8" s="2" t="s">
        <v>1019</v>
      </c>
      <c r="K8" s="2" t="s">
        <v>1020</v>
      </c>
      <c r="L8" s="2" t="n">
        <v>1.5</v>
      </c>
      <c r="M8" s="2"/>
      <c r="N8" s="2"/>
    </row>
    <row r="9" customFormat="false" ht="15" hidden="false" customHeight="false" outlineLevel="0" collapsed="false">
      <c r="A9" s="2" t="s">
        <v>1065</v>
      </c>
      <c r="B9" s="6" t="str">
        <f aca="false">CONCATENATE("Конденсатор ",K9," ёмкостью ",F9, " ", G9, ", ",H9," В, ",I9)</f>
        <v>Конденсатор 0603C ёмкостью 1,8 н 10%, 50 В, X7R</v>
      </c>
      <c r="C9" s="2" t="s">
        <v>1015</v>
      </c>
      <c r="D9" s="2" t="s">
        <v>1017</v>
      </c>
      <c r="E9" s="2" t="s">
        <v>1015</v>
      </c>
      <c r="F9" s="2" t="s">
        <v>1066</v>
      </c>
      <c r="G9" s="7" t="s">
        <v>1047</v>
      </c>
      <c r="H9" s="2" t="n">
        <v>50</v>
      </c>
      <c r="I9" s="2" t="s">
        <v>1048</v>
      </c>
      <c r="J9" s="2" t="s">
        <v>1019</v>
      </c>
      <c r="K9" s="2" t="s">
        <v>1020</v>
      </c>
      <c r="L9" s="2" t="n">
        <v>1.8</v>
      </c>
      <c r="M9" s="2"/>
      <c r="N9" s="2"/>
    </row>
    <row r="10" customFormat="false" ht="15" hidden="false" customHeight="false" outlineLevel="0" collapsed="false">
      <c r="A10" s="2" t="s">
        <v>1067</v>
      </c>
      <c r="B10" s="6" t="str">
        <f aca="false">CONCATENATE("Конденсатор ",K10," ёмкостью ",F10, " ", G10, ", ",H10," В, ",I10)</f>
        <v>Конденсатор 0603C ёмкостью 2,2 н 10%, 50 В, X7R</v>
      </c>
      <c r="C10" s="2" t="s">
        <v>1015</v>
      </c>
      <c r="D10" s="2" t="s">
        <v>1017</v>
      </c>
      <c r="E10" s="2" t="s">
        <v>1015</v>
      </c>
      <c r="F10" s="2" t="s">
        <v>1068</v>
      </c>
      <c r="G10" s="7" t="s">
        <v>1047</v>
      </c>
      <c r="H10" s="2" t="n">
        <v>50</v>
      </c>
      <c r="I10" s="2" t="s">
        <v>1048</v>
      </c>
      <c r="J10" s="2" t="s">
        <v>1019</v>
      </c>
      <c r="K10" s="2" t="s">
        <v>1020</v>
      </c>
      <c r="L10" s="2" t="n">
        <v>2.2</v>
      </c>
      <c r="M10" s="2"/>
      <c r="N10" s="2"/>
    </row>
    <row r="11" customFormat="false" ht="15" hidden="false" customHeight="false" outlineLevel="0" collapsed="false">
      <c r="A11" s="2" t="s">
        <v>1069</v>
      </c>
      <c r="B11" s="6" t="str">
        <f aca="false">CONCATENATE("Конденсатор ",K11," ёмкостью ",F11, " ", G11, ", ",H11," В, ",I11)</f>
        <v>Конденсатор 0603C ёмкостью 2,7 н 10%, 50 В, X7R</v>
      </c>
      <c r="C11" s="2" t="s">
        <v>1015</v>
      </c>
      <c r="D11" s="2" t="s">
        <v>1017</v>
      </c>
      <c r="E11" s="2" t="s">
        <v>1015</v>
      </c>
      <c r="F11" s="2" t="s">
        <v>1070</v>
      </c>
      <c r="G11" s="7" t="s">
        <v>1047</v>
      </c>
      <c r="H11" s="2" t="n">
        <v>50</v>
      </c>
      <c r="I11" s="2" t="s">
        <v>1048</v>
      </c>
      <c r="J11" s="2" t="s">
        <v>1019</v>
      </c>
      <c r="K11" s="2" t="s">
        <v>1020</v>
      </c>
      <c r="L11" s="2" t="n">
        <v>2.7</v>
      </c>
      <c r="M11" s="2"/>
      <c r="N11" s="2"/>
    </row>
    <row r="12" customFormat="false" ht="15" hidden="false" customHeight="false" outlineLevel="0" collapsed="false">
      <c r="A12" s="2" t="s">
        <v>1071</v>
      </c>
      <c r="B12" s="6" t="str">
        <f aca="false">CONCATENATE("Конденсатор ",K12," ёмкостью ",F12, " ", G12, ", ",H12," В, ",I12)</f>
        <v>Конденсатор 0603C ёмкостью 3,3 н 10%, 50 В, X7R</v>
      </c>
      <c r="C12" s="2" t="s">
        <v>1015</v>
      </c>
      <c r="D12" s="2" t="s">
        <v>1017</v>
      </c>
      <c r="E12" s="2" t="s">
        <v>1015</v>
      </c>
      <c r="F12" s="2" t="s">
        <v>1072</v>
      </c>
      <c r="G12" s="7" t="s">
        <v>1047</v>
      </c>
      <c r="H12" s="2" t="n">
        <v>50</v>
      </c>
      <c r="I12" s="2" t="s">
        <v>1048</v>
      </c>
      <c r="J12" s="2" t="s">
        <v>1019</v>
      </c>
      <c r="K12" s="2" t="s">
        <v>1020</v>
      </c>
      <c r="L12" s="2" t="n">
        <v>3.3</v>
      </c>
      <c r="M12" s="2"/>
      <c r="N12" s="2"/>
    </row>
    <row r="13" customFormat="false" ht="15" hidden="false" customHeight="false" outlineLevel="0" collapsed="false">
      <c r="A13" s="2" t="s">
        <v>1073</v>
      </c>
      <c r="B13" s="6" t="str">
        <f aca="false">CONCATENATE("Конденсатор ",K13," ёмкостью ",F13, " ", G13, ", ",H13," В, ",I13)</f>
        <v>Конденсатор 0603C ёмкостью 3,9 н 10%, 50 В, X7R</v>
      </c>
      <c r="C13" s="2" t="s">
        <v>1015</v>
      </c>
      <c r="D13" s="2" t="s">
        <v>1017</v>
      </c>
      <c r="E13" s="2" t="s">
        <v>1015</v>
      </c>
      <c r="F13" s="2" t="s">
        <v>1074</v>
      </c>
      <c r="G13" s="7" t="s">
        <v>1047</v>
      </c>
      <c r="H13" s="2" t="n">
        <v>50</v>
      </c>
      <c r="I13" s="2" t="s">
        <v>1048</v>
      </c>
      <c r="J13" s="2" t="s">
        <v>1019</v>
      </c>
      <c r="K13" s="2" t="s">
        <v>1020</v>
      </c>
      <c r="L13" s="2" t="n">
        <v>3.9</v>
      </c>
      <c r="M13" s="2"/>
      <c r="N13" s="2"/>
    </row>
    <row r="14" customFormat="false" ht="15" hidden="false" customHeight="false" outlineLevel="0" collapsed="false">
      <c r="A14" s="2" t="s">
        <v>1075</v>
      </c>
      <c r="B14" s="6" t="str">
        <f aca="false">CONCATENATE("Конденсатор ",K14," ёмкостью ",F14, " ", G14, ", ",H14," В, ",I14)</f>
        <v>Конденсатор 0603C ёмкостью 4,7 н 10%, 50 В, X7R</v>
      </c>
      <c r="C14" s="2" t="s">
        <v>1015</v>
      </c>
      <c r="D14" s="2" t="s">
        <v>1017</v>
      </c>
      <c r="E14" s="2" t="s">
        <v>1015</v>
      </c>
      <c r="F14" s="2" t="s">
        <v>1076</v>
      </c>
      <c r="G14" s="7" t="s">
        <v>1047</v>
      </c>
      <c r="H14" s="2" t="n">
        <v>50</v>
      </c>
      <c r="I14" s="2" t="s">
        <v>1048</v>
      </c>
      <c r="J14" s="2" t="s">
        <v>1019</v>
      </c>
      <c r="K14" s="2" t="s">
        <v>1020</v>
      </c>
      <c r="L14" s="2" t="n">
        <v>4.7</v>
      </c>
      <c r="M14" s="2"/>
      <c r="N14" s="2"/>
    </row>
    <row r="15" customFormat="false" ht="15" hidden="false" customHeight="false" outlineLevel="0" collapsed="false">
      <c r="A15" s="2" t="s">
        <v>1077</v>
      </c>
      <c r="B15" s="6" t="str">
        <f aca="false">CONCATENATE("Конденсатор ",K15," ёмкостью ",F15, " ", G15, ", ",H15," В, ",I15)</f>
        <v>Конденсатор 0603C ёмкостью 5,6 н 10%, 50 В, X7R</v>
      </c>
      <c r="C15" s="2" t="s">
        <v>1015</v>
      </c>
      <c r="D15" s="2" t="s">
        <v>1017</v>
      </c>
      <c r="E15" s="2" t="s">
        <v>1015</v>
      </c>
      <c r="F15" s="2" t="s">
        <v>1078</v>
      </c>
      <c r="G15" s="7" t="s">
        <v>1047</v>
      </c>
      <c r="H15" s="2" t="n">
        <v>50</v>
      </c>
      <c r="I15" s="2" t="s">
        <v>1048</v>
      </c>
      <c r="J15" s="2" t="s">
        <v>1019</v>
      </c>
      <c r="K15" s="2" t="s">
        <v>1020</v>
      </c>
      <c r="L15" s="2" t="n">
        <v>5.6</v>
      </c>
      <c r="M15" s="2"/>
      <c r="N15" s="2"/>
    </row>
    <row r="16" customFormat="false" ht="15" hidden="false" customHeight="false" outlineLevel="0" collapsed="false">
      <c r="A16" s="2" t="s">
        <v>1079</v>
      </c>
      <c r="B16" s="6" t="str">
        <f aca="false">CONCATENATE("Конденсатор ",K16," ёмкостью ",F16, " ", G16, ", ",H16," В, ",I16)</f>
        <v>Конденсатор 0603C ёмкостью 6,8 н 10%, 50 В, X7R</v>
      </c>
      <c r="C16" s="2" t="s">
        <v>1015</v>
      </c>
      <c r="D16" s="2" t="s">
        <v>1017</v>
      </c>
      <c r="E16" s="2" t="s">
        <v>1015</v>
      </c>
      <c r="F16" s="2" t="s">
        <v>1080</v>
      </c>
      <c r="G16" s="7" t="s">
        <v>1047</v>
      </c>
      <c r="H16" s="2" t="n">
        <v>50</v>
      </c>
      <c r="I16" s="2" t="s">
        <v>1048</v>
      </c>
      <c r="J16" s="2" t="s">
        <v>1019</v>
      </c>
      <c r="K16" s="2" t="s">
        <v>1020</v>
      </c>
      <c r="L16" s="2" t="n">
        <v>6.8</v>
      </c>
      <c r="M16" s="2"/>
      <c r="N16" s="2"/>
    </row>
    <row r="17" customFormat="false" ht="15" hidden="false" customHeight="false" outlineLevel="0" collapsed="false">
      <c r="A17" s="2" t="s">
        <v>1081</v>
      </c>
      <c r="B17" s="6" t="str">
        <f aca="false">CONCATENATE("Конденсатор ",K17," ёмкостью ",F17, " ", G17, ", ",H17," В, ",I17)</f>
        <v>Конденсатор 0603C ёмкостью 8,2 н 10%, 50 В, X7R</v>
      </c>
      <c r="C17" s="2" t="s">
        <v>1015</v>
      </c>
      <c r="D17" s="2" t="s">
        <v>1017</v>
      </c>
      <c r="E17" s="2" t="s">
        <v>1015</v>
      </c>
      <c r="F17" s="2" t="s">
        <v>1082</v>
      </c>
      <c r="G17" s="7" t="s">
        <v>1047</v>
      </c>
      <c r="H17" s="2" t="n">
        <v>50</v>
      </c>
      <c r="I17" s="2" t="s">
        <v>1048</v>
      </c>
      <c r="J17" s="2" t="s">
        <v>1019</v>
      </c>
      <c r="K17" s="2" t="s">
        <v>1020</v>
      </c>
      <c r="L17" s="2" t="n">
        <v>8.2</v>
      </c>
      <c r="M17" s="2"/>
      <c r="N17" s="2"/>
    </row>
    <row r="18" customFormat="false" ht="15" hidden="false" customHeight="false" outlineLevel="0" collapsed="false">
      <c r="A18" s="2" t="s">
        <v>1083</v>
      </c>
      <c r="B18" s="6" t="str">
        <f aca="false">CONCATENATE("Конденсатор ",K18," ёмкостью ",F18, " ", G18, ", ",H18," В, ",I18)</f>
        <v>Конденсатор 0603C ёмкостью 10 н 10%, 50 В, X7R</v>
      </c>
      <c r="C18" s="2" t="s">
        <v>1015</v>
      </c>
      <c r="D18" s="2" t="s">
        <v>1017</v>
      </c>
      <c r="E18" s="2" t="s">
        <v>1015</v>
      </c>
      <c r="F18" s="2" t="s">
        <v>1084</v>
      </c>
      <c r="G18" s="7" t="s">
        <v>1047</v>
      </c>
      <c r="H18" s="2" t="n">
        <v>50</v>
      </c>
      <c r="I18" s="2" t="s">
        <v>1048</v>
      </c>
      <c r="J18" s="2" t="s">
        <v>1019</v>
      </c>
      <c r="K18" s="2" t="s">
        <v>1020</v>
      </c>
      <c r="L18" s="2" t="n">
        <v>10</v>
      </c>
      <c r="M18" s="2"/>
      <c r="N18" s="2"/>
    </row>
    <row r="19" customFormat="false" ht="15" hidden="false" customHeight="false" outlineLevel="0" collapsed="false">
      <c r="A19" s="2" t="s">
        <v>1085</v>
      </c>
      <c r="B19" s="6" t="str">
        <f aca="false">CONCATENATE("Конденсатор ",K19," ёмкостью ",F19, " ", G19, ", ",H19," В, ",I19)</f>
        <v>Конденсатор 0603C ёмкостью 12 н 10%, 50 В, X7R</v>
      </c>
      <c r="C19" s="2" t="s">
        <v>1015</v>
      </c>
      <c r="D19" s="2" t="s">
        <v>1017</v>
      </c>
      <c r="E19" s="2" t="s">
        <v>1015</v>
      </c>
      <c r="F19" s="2" t="s">
        <v>1086</v>
      </c>
      <c r="G19" s="7" t="s">
        <v>1047</v>
      </c>
      <c r="H19" s="2" t="n">
        <v>50</v>
      </c>
      <c r="I19" s="2" t="s">
        <v>1048</v>
      </c>
      <c r="J19" s="2" t="s">
        <v>1019</v>
      </c>
      <c r="K19" s="2" t="s">
        <v>1020</v>
      </c>
      <c r="L19" s="2" t="n">
        <v>12</v>
      </c>
      <c r="M19" s="2"/>
      <c r="N19" s="2"/>
    </row>
    <row r="20" customFormat="false" ht="15" hidden="false" customHeight="false" outlineLevel="0" collapsed="false">
      <c r="A20" s="2" t="s">
        <v>1087</v>
      </c>
      <c r="B20" s="6" t="str">
        <f aca="false">CONCATENATE("Конденсатор ",K20," ёмкостью ",F20, " ", G20, ", ",H20," В, ",I20)</f>
        <v>Конденсатор 0603C ёмкостью 15 н 10%, 50 В, X7R</v>
      </c>
      <c r="C20" s="2" t="s">
        <v>1015</v>
      </c>
      <c r="D20" s="2" t="s">
        <v>1017</v>
      </c>
      <c r="E20" s="2" t="s">
        <v>1015</v>
      </c>
      <c r="F20" s="2" t="s">
        <v>1088</v>
      </c>
      <c r="G20" s="7" t="s">
        <v>1047</v>
      </c>
      <c r="H20" s="2" t="n">
        <v>50</v>
      </c>
      <c r="I20" s="2" t="s">
        <v>1048</v>
      </c>
      <c r="J20" s="2" t="s">
        <v>1019</v>
      </c>
      <c r="K20" s="2" t="s">
        <v>1020</v>
      </c>
      <c r="L20" s="2" t="n">
        <v>15</v>
      </c>
      <c r="M20" s="2"/>
      <c r="N20" s="2"/>
    </row>
    <row r="21" customFormat="false" ht="15" hidden="false" customHeight="false" outlineLevel="0" collapsed="false">
      <c r="A21" s="2" t="s">
        <v>1089</v>
      </c>
      <c r="B21" s="6" t="str">
        <f aca="false">CONCATENATE("Конденсатор ",K21," ёмкостью ",F21, " ", G21, ", ",H21," В, ",I21)</f>
        <v>Конденсатор 0603C ёмкостью 18 н 10%, 50 В, X7R</v>
      </c>
      <c r="C21" s="2" t="s">
        <v>1015</v>
      </c>
      <c r="D21" s="2" t="s">
        <v>1017</v>
      </c>
      <c r="E21" s="2" t="s">
        <v>1015</v>
      </c>
      <c r="F21" s="2" t="s">
        <v>1090</v>
      </c>
      <c r="G21" s="7" t="s">
        <v>1047</v>
      </c>
      <c r="H21" s="2" t="n">
        <v>50</v>
      </c>
      <c r="I21" s="2" t="s">
        <v>1048</v>
      </c>
      <c r="J21" s="2" t="s">
        <v>1019</v>
      </c>
      <c r="K21" s="2" t="s">
        <v>1020</v>
      </c>
      <c r="L21" s="2" t="n">
        <v>18</v>
      </c>
      <c r="M21" s="2"/>
      <c r="N21" s="2"/>
    </row>
    <row r="22" customFormat="false" ht="15" hidden="false" customHeight="false" outlineLevel="0" collapsed="false">
      <c r="A22" s="2" t="s">
        <v>1091</v>
      </c>
      <c r="B22" s="6" t="str">
        <f aca="false">CONCATENATE("Конденсатор ",K22," ёмкостью ",F22, " ", G22, ", ",H22," В, ",I22)</f>
        <v>Конденсатор 0603C ёмкостью 22 н 10%, 50 В, X7R</v>
      </c>
      <c r="C22" s="2" t="s">
        <v>1015</v>
      </c>
      <c r="D22" s="2" t="s">
        <v>1017</v>
      </c>
      <c r="E22" s="2" t="s">
        <v>1015</v>
      </c>
      <c r="F22" s="2" t="s">
        <v>1092</v>
      </c>
      <c r="G22" s="7" t="s">
        <v>1047</v>
      </c>
      <c r="H22" s="2" t="n">
        <v>50</v>
      </c>
      <c r="I22" s="2" t="s">
        <v>1048</v>
      </c>
      <c r="J22" s="2" t="s">
        <v>1019</v>
      </c>
      <c r="K22" s="2" t="s">
        <v>1020</v>
      </c>
      <c r="L22" s="2" t="n">
        <v>22</v>
      </c>
      <c r="M22" s="2"/>
      <c r="N22" s="2"/>
    </row>
    <row r="23" customFormat="false" ht="15" hidden="false" customHeight="false" outlineLevel="0" collapsed="false">
      <c r="A23" s="2" t="s">
        <v>1093</v>
      </c>
      <c r="B23" s="6" t="str">
        <f aca="false">CONCATENATE("Конденсатор ",K23," ёмкостью ",F23, " ", G23, ", ",H23," В, ",I23)</f>
        <v>Конденсатор 0603C ёмкостью 27 н 10%, 50 В, X7R</v>
      </c>
      <c r="C23" s="2" t="s">
        <v>1015</v>
      </c>
      <c r="D23" s="2" t="s">
        <v>1017</v>
      </c>
      <c r="E23" s="2" t="s">
        <v>1015</v>
      </c>
      <c r="F23" s="2" t="s">
        <v>1094</v>
      </c>
      <c r="G23" s="7" t="s">
        <v>1047</v>
      </c>
      <c r="H23" s="2" t="n">
        <v>50</v>
      </c>
      <c r="I23" s="2" t="s">
        <v>1048</v>
      </c>
      <c r="J23" s="2" t="s">
        <v>1019</v>
      </c>
      <c r="K23" s="2" t="s">
        <v>1020</v>
      </c>
      <c r="L23" s="2" t="n">
        <v>27</v>
      </c>
      <c r="M23" s="2"/>
      <c r="N23" s="2"/>
    </row>
    <row r="24" customFormat="false" ht="15" hidden="false" customHeight="false" outlineLevel="0" collapsed="false">
      <c r="A24" s="2" t="s">
        <v>1095</v>
      </c>
      <c r="B24" s="6" t="str">
        <f aca="false">CONCATENATE("Конденсатор ",K24," ёмкостью ",F24, " ", G24, ", ",H24," В, ",I24)</f>
        <v>Конденсатор 0603C ёмкостью 33 н 10%, 50 В, X7R</v>
      </c>
      <c r="C24" s="2" t="s">
        <v>1015</v>
      </c>
      <c r="D24" s="2" t="s">
        <v>1017</v>
      </c>
      <c r="E24" s="2" t="s">
        <v>1015</v>
      </c>
      <c r="F24" s="2" t="s">
        <v>1096</v>
      </c>
      <c r="G24" s="7" t="s">
        <v>1047</v>
      </c>
      <c r="H24" s="2" t="n">
        <v>50</v>
      </c>
      <c r="I24" s="2" t="s">
        <v>1048</v>
      </c>
      <c r="J24" s="2" t="s">
        <v>1019</v>
      </c>
      <c r="K24" s="2" t="s">
        <v>1020</v>
      </c>
      <c r="L24" s="2" t="n">
        <v>33</v>
      </c>
      <c r="M24" s="2"/>
      <c r="N24" s="2"/>
    </row>
    <row r="25" customFormat="false" ht="15" hidden="false" customHeight="false" outlineLevel="0" collapsed="false">
      <c r="A25" s="2" t="s">
        <v>1097</v>
      </c>
      <c r="B25" s="6" t="str">
        <f aca="false">CONCATENATE("Конденсатор ",K25," ёмкостью ",F25, " ", G25, ", ",H25," В, ",I25)</f>
        <v>Конденсатор 0603C ёмкостью 39 н 10%, 50 В, X7R</v>
      </c>
      <c r="C25" s="2" t="s">
        <v>1015</v>
      </c>
      <c r="D25" s="2" t="s">
        <v>1017</v>
      </c>
      <c r="E25" s="2" t="s">
        <v>1015</v>
      </c>
      <c r="F25" s="2" t="s">
        <v>1098</v>
      </c>
      <c r="G25" s="7" t="s">
        <v>1047</v>
      </c>
      <c r="H25" s="2" t="n">
        <v>50</v>
      </c>
      <c r="I25" s="2" t="s">
        <v>1048</v>
      </c>
      <c r="J25" s="2" t="s">
        <v>1019</v>
      </c>
      <c r="K25" s="2" t="s">
        <v>1020</v>
      </c>
      <c r="L25" s="2" t="n">
        <v>39</v>
      </c>
      <c r="M25" s="2"/>
      <c r="N25" s="2"/>
    </row>
    <row r="26" customFormat="false" ht="15" hidden="false" customHeight="false" outlineLevel="0" collapsed="false">
      <c r="A26" s="2" t="s">
        <v>1099</v>
      </c>
      <c r="B26" s="6" t="str">
        <f aca="false">CONCATENATE("Конденсатор ",K26," ёмкостью ",F26, " ", G26, ", ",H26," В, ",I26)</f>
        <v>Конденсатор 0603C ёмкостью 47 н 10%, 50 В, X7R</v>
      </c>
      <c r="C26" s="2" t="s">
        <v>1015</v>
      </c>
      <c r="D26" s="2" t="s">
        <v>1017</v>
      </c>
      <c r="E26" s="2" t="s">
        <v>1015</v>
      </c>
      <c r="F26" s="2" t="s">
        <v>1100</v>
      </c>
      <c r="G26" s="7" t="s">
        <v>1047</v>
      </c>
      <c r="H26" s="2" t="n">
        <v>50</v>
      </c>
      <c r="I26" s="2" t="s">
        <v>1048</v>
      </c>
      <c r="J26" s="2" t="s">
        <v>1019</v>
      </c>
      <c r="K26" s="2" t="s">
        <v>1020</v>
      </c>
      <c r="L26" s="2" t="n">
        <v>47</v>
      </c>
      <c r="M26" s="2"/>
      <c r="N26" s="2"/>
    </row>
    <row r="27" customFormat="false" ht="15" hidden="false" customHeight="false" outlineLevel="0" collapsed="false">
      <c r="A27" s="2" t="s">
        <v>1101</v>
      </c>
      <c r="B27" s="6" t="str">
        <f aca="false">CONCATENATE("Конденсатор ",K27," ёмкостью ",F27, " ", G27, ", ",H27," В, ",I27)</f>
        <v>Конденсатор 0603C ёмкостью 56 н 10%, 50 В, X7R</v>
      </c>
      <c r="C27" s="2" t="s">
        <v>1015</v>
      </c>
      <c r="D27" s="2" t="s">
        <v>1017</v>
      </c>
      <c r="E27" s="2" t="s">
        <v>1015</v>
      </c>
      <c r="F27" s="2" t="s">
        <v>1102</v>
      </c>
      <c r="G27" s="7" t="s">
        <v>1047</v>
      </c>
      <c r="H27" s="2" t="n">
        <v>50</v>
      </c>
      <c r="I27" s="2" t="s">
        <v>1048</v>
      </c>
      <c r="J27" s="2" t="s">
        <v>1019</v>
      </c>
      <c r="K27" s="2" t="s">
        <v>1020</v>
      </c>
      <c r="L27" s="2" t="n">
        <v>56</v>
      </c>
      <c r="M27" s="2"/>
      <c r="N27" s="2"/>
    </row>
    <row r="28" customFormat="false" ht="15" hidden="false" customHeight="false" outlineLevel="0" collapsed="false">
      <c r="A28" s="2" t="s">
        <v>1103</v>
      </c>
      <c r="B28" s="6" t="str">
        <f aca="false">CONCATENATE("Конденсатор ",K28," ёмкостью ",F28, " ", G28, ", ",H28," В, ",I28)</f>
        <v>Конденсатор 0603C ёмкостью 68 н 10%, 50 В, X7R</v>
      </c>
      <c r="C28" s="2" t="s">
        <v>1015</v>
      </c>
      <c r="D28" s="2" t="s">
        <v>1017</v>
      </c>
      <c r="E28" s="2" t="s">
        <v>1015</v>
      </c>
      <c r="F28" s="2" t="s">
        <v>1104</v>
      </c>
      <c r="G28" s="7" t="s">
        <v>1047</v>
      </c>
      <c r="H28" s="2" t="n">
        <v>50</v>
      </c>
      <c r="I28" s="2" t="s">
        <v>1048</v>
      </c>
      <c r="J28" s="2" t="s">
        <v>1019</v>
      </c>
      <c r="K28" s="2" t="s">
        <v>1020</v>
      </c>
      <c r="L28" s="2" t="n">
        <v>68</v>
      </c>
      <c r="M28" s="2"/>
      <c r="N28" s="2"/>
    </row>
    <row r="29" customFormat="false" ht="15" hidden="false" customHeight="false" outlineLevel="0" collapsed="false">
      <c r="A29" s="2" t="s">
        <v>1105</v>
      </c>
      <c r="B29" s="6" t="str">
        <f aca="false">CONCATENATE("Конденсатор ",K29," ёмкостью ",F29, " ", G29, ", ",H29," В, ",I29)</f>
        <v>Конденсатор 0603C ёмкостью 82 н 10%, 50 В, X7R</v>
      </c>
      <c r="C29" s="2" t="s">
        <v>1015</v>
      </c>
      <c r="D29" s="2" t="s">
        <v>1017</v>
      </c>
      <c r="E29" s="2" t="s">
        <v>1015</v>
      </c>
      <c r="F29" s="2" t="s">
        <v>1106</v>
      </c>
      <c r="G29" s="7" t="s">
        <v>1047</v>
      </c>
      <c r="H29" s="2" t="n">
        <v>50</v>
      </c>
      <c r="I29" s="2" t="s">
        <v>1048</v>
      </c>
      <c r="J29" s="2" t="s">
        <v>1019</v>
      </c>
      <c r="K29" s="2" t="s">
        <v>1020</v>
      </c>
      <c r="L29" s="2" t="n">
        <v>82</v>
      </c>
      <c r="M29" s="2"/>
      <c r="N29" s="2"/>
    </row>
    <row r="30" customFormat="false" ht="15" hidden="false" customHeight="false" outlineLevel="0" collapsed="false">
      <c r="A30" s="2" t="s">
        <v>1107</v>
      </c>
      <c r="B30" s="6" t="str">
        <f aca="false">CONCATENATE("Конденсатор ",K30," ёмкостью ",F30, " ", G30, ", ",H30," В, ",I30)</f>
        <v>Конденсатор 0603C ёмкостью 0,1 мк 10%, 50 В, X7R</v>
      </c>
      <c r="C30" s="2" t="s">
        <v>1015</v>
      </c>
      <c r="D30" s="2" t="s">
        <v>1017</v>
      </c>
      <c r="E30" s="2" t="s">
        <v>1015</v>
      </c>
      <c r="F30" s="2" t="s">
        <v>1018</v>
      </c>
      <c r="G30" s="7" t="s">
        <v>1047</v>
      </c>
      <c r="H30" s="2" t="n">
        <v>50</v>
      </c>
      <c r="I30" s="2" t="s">
        <v>1048</v>
      </c>
      <c r="J30" s="2" t="s">
        <v>1019</v>
      </c>
      <c r="K30" s="2" t="s">
        <v>1020</v>
      </c>
      <c r="L30" s="2" t="n">
        <v>100</v>
      </c>
      <c r="M30" s="2"/>
      <c r="N30" s="2"/>
    </row>
    <row r="31" customFormat="false" ht="15" hidden="false" customHeight="false" outlineLevel="0" collapsed="false">
      <c r="A31" s="2" t="s">
        <v>1108</v>
      </c>
      <c r="B31" s="6" t="str">
        <f aca="false">CONCATENATE("Конденсатор ",K31," ёмкостью ",F31, " ", G31, ", ",H31," В, ",I31)</f>
        <v>Конденсатор 0603C ёмкостью 0,12 мк 10%, 50 В, X7R</v>
      </c>
      <c r="C31" s="2" t="s">
        <v>1015</v>
      </c>
      <c r="D31" s="2" t="s">
        <v>1017</v>
      </c>
      <c r="E31" s="2" t="s">
        <v>1015</v>
      </c>
      <c r="F31" s="2" t="s">
        <v>1109</v>
      </c>
      <c r="G31" s="7" t="s">
        <v>1047</v>
      </c>
      <c r="H31" s="2" t="n">
        <v>50</v>
      </c>
      <c r="I31" s="2" t="s">
        <v>1048</v>
      </c>
      <c r="J31" s="2" t="s">
        <v>1019</v>
      </c>
      <c r="K31" s="2" t="s">
        <v>1020</v>
      </c>
      <c r="L31" s="2" t="n">
        <v>120</v>
      </c>
      <c r="M31" s="2"/>
      <c r="N31" s="2"/>
    </row>
    <row r="32" customFormat="false" ht="15" hidden="false" customHeight="false" outlineLevel="0" collapsed="false">
      <c r="A32" s="2" t="s">
        <v>1110</v>
      </c>
      <c r="B32" s="6" t="str">
        <f aca="false">CONCATENATE("Конденсатор ",K32," ёмкостью ",F32, " ", G32, ", ",H32," В, ",I32)</f>
        <v>Конденсатор 0603C ёмкостью 0,15 мк 10%, 50 В, X7R</v>
      </c>
      <c r="C32" s="2" t="s">
        <v>1015</v>
      </c>
      <c r="D32" s="2" t="s">
        <v>1017</v>
      </c>
      <c r="E32" s="2" t="s">
        <v>1015</v>
      </c>
      <c r="F32" s="2" t="s">
        <v>1111</v>
      </c>
      <c r="G32" s="7" t="s">
        <v>1047</v>
      </c>
      <c r="H32" s="2" t="n">
        <v>50</v>
      </c>
      <c r="I32" s="2" t="s">
        <v>1048</v>
      </c>
      <c r="J32" s="2" t="s">
        <v>1019</v>
      </c>
      <c r="K32" s="2" t="s">
        <v>1020</v>
      </c>
      <c r="L32" s="2" t="n">
        <v>150</v>
      </c>
      <c r="M32" s="2"/>
      <c r="N32" s="2"/>
    </row>
    <row r="33" customFormat="false" ht="15" hidden="false" customHeight="false" outlineLevel="0" collapsed="false">
      <c r="A33" s="2" t="s">
        <v>1112</v>
      </c>
      <c r="B33" s="6" t="str">
        <f aca="false">CONCATENATE("Конденсатор ",K33," ёмкостью ",F33, " ", G33, ", ",H33," В, ",I33)</f>
        <v>Конденсатор 0603C ёмкостью 0,18 мк 10%, 50 В, X7R</v>
      </c>
      <c r="C33" s="2" t="s">
        <v>1015</v>
      </c>
      <c r="D33" s="2" t="s">
        <v>1017</v>
      </c>
      <c r="E33" s="2" t="s">
        <v>1015</v>
      </c>
      <c r="F33" s="2" t="s">
        <v>1113</v>
      </c>
      <c r="G33" s="7" t="s">
        <v>1047</v>
      </c>
      <c r="H33" s="2" t="n">
        <v>50</v>
      </c>
      <c r="I33" s="2" t="s">
        <v>1048</v>
      </c>
      <c r="J33" s="2" t="s">
        <v>1019</v>
      </c>
      <c r="K33" s="2" t="s">
        <v>1020</v>
      </c>
      <c r="L33" s="2" t="n">
        <v>180</v>
      </c>
      <c r="M33" s="2"/>
      <c r="N33" s="2"/>
    </row>
    <row r="34" customFormat="false" ht="15" hidden="false" customHeight="false" outlineLevel="0" collapsed="false">
      <c r="A34" s="2" t="s">
        <v>1114</v>
      </c>
      <c r="B34" s="6" t="str">
        <f aca="false">CONCATENATE("Конденсатор ",K34," ёмкостью ",F34, " ", G34, ", ",H34," В, ",I34)</f>
        <v>Конденсатор 0603C ёмкостью 0,22 мк 10%, 50 В, X7R</v>
      </c>
      <c r="C34" s="2" t="s">
        <v>1015</v>
      </c>
      <c r="D34" s="2" t="s">
        <v>1017</v>
      </c>
      <c r="E34" s="2" t="s">
        <v>1015</v>
      </c>
      <c r="F34" s="2" t="s">
        <v>1115</v>
      </c>
      <c r="G34" s="7" t="s">
        <v>1047</v>
      </c>
      <c r="H34" s="2" t="n">
        <v>50</v>
      </c>
      <c r="I34" s="2" t="s">
        <v>1048</v>
      </c>
      <c r="J34" s="2" t="s">
        <v>1019</v>
      </c>
      <c r="K34" s="2" t="s">
        <v>1020</v>
      </c>
      <c r="L34" s="2" t="n">
        <v>220</v>
      </c>
      <c r="M34" s="2"/>
      <c r="N34" s="2"/>
    </row>
    <row r="35" customFormat="false" ht="15" hidden="false" customHeight="false" outlineLevel="0" collapsed="false">
      <c r="A35" s="2" t="s">
        <v>1116</v>
      </c>
      <c r="B35" s="6" t="str">
        <f aca="false">CONCATENATE("Конденсатор ",K35," ёмкостью ",F35, " ", G35, ", ",H35," В, ",I35)</f>
        <v>Конденсатор 0603C ёмкостью 0,27 мк 10%, 50 В, X7R</v>
      </c>
      <c r="C35" s="2" t="s">
        <v>1015</v>
      </c>
      <c r="D35" s="2" t="s">
        <v>1017</v>
      </c>
      <c r="E35" s="2" t="s">
        <v>1015</v>
      </c>
      <c r="F35" s="2" t="s">
        <v>1117</v>
      </c>
      <c r="G35" s="7" t="s">
        <v>1047</v>
      </c>
      <c r="H35" s="2" t="n">
        <v>50</v>
      </c>
      <c r="I35" s="2" t="s">
        <v>1048</v>
      </c>
      <c r="J35" s="2" t="s">
        <v>1019</v>
      </c>
      <c r="K35" s="2" t="s">
        <v>1020</v>
      </c>
      <c r="L35" s="2" t="n">
        <v>270</v>
      </c>
      <c r="M35" s="2"/>
      <c r="N35" s="2"/>
    </row>
    <row r="36" customFormat="false" ht="15" hidden="false" customHeight="false" outlineLevel="0" collapsed="false">
      <c r="A36" s="2" t="s">
        <v>1118</v>
      </c>
      <c r="B36" s="6" t="str">
        <f aca="false">CONCATENATE("Конденсатор ",K36," ёмкостью ",F36, " ", G36, ", ",H36," В, ",I36)</f>
        <v>Конденсатор 0603C ёмкостью 0,33 мк 10%, 50 В, X7R</v>
      </c>
      <c r="C36" s="2" t="s">
        <v>1015</v>
      </c>
      <c r="D36" s="2" t="s">
        <v>1017</v>
      </c>
      <c r="E36" s="2" t="s">
        <v>1015</v>
      </c>
      <c r="F36" s="2" t="s">
        <v>1119</v>
      </c>
      <c r="G36" s="7" t="s">
        <v>1047</v>
      </c>
      <c r="H36" s="2" t="n">
        <v>50</v>
      </c>
      <c r="I36" s="2" t="s">
        <v>1048</v>
      </c>
      <c r="J36" s="2" t="s">
        <v>1019</v>
      </c>
      <c r="K36" s="2" t="s">
        <v>1020</v>
      </c>
      <c r="L36" s="2" t="n">
        <v>330</v>
      </c>
      <c r="M36" s="2"/>
      <c r="N36" s="2"/>
    </row>
    <row r="37" customFormat="false" ht="15" hidden="false" customHeight="false" outlineLevel="0" collapsed="false">
      <c r="A37" s="2" t="s">
        <v>1120</v>
      </c>
      <c r="B37" s="6" t="str">
        <f aca="false">CONCATENATE("Конденсатор ",K37," ёмкостью ",F37, " ", G37, ", ",H37," В, ",I37)</f>
        <v>Конденсатор 0603C ёмкостью 0,39 мк 10%, 50 В, X7R</v>
      </c>
      <c r="C37" s="2" t="s">
        <v>1015</v>
      </c>
      <c r="D37" s="2" t="s">
        <v>1017</v>
      </c>
      <c r="E37" s="2" t="s">
        <v>1015</v>
      </c>
      <c r="F37" s="2" t="s">
        <v>1121</v>
      </c>
      <c r="G37" s="7" t="s">
        <v>1047</v>
      </c>
      <c r="H37" s="2" t="n">
        <v>50</v>
      </c>
      <c r="I37" s="2" t="s">
        <v>1048</v>
      </c>
      <c r="J37" s="2" t="s">
        <v>1019</v>
      </c>
      <c r="K37" s="2" t="s">
        <v>1020</v>
      </c>
      <c r="L37" s="2" t="n">
        <v>390</v>
      </c>
      <c r="M37" s="2"/>
      <c r="N37" s="2"/>
    </row>
    <row r="38" customFormat="false" ht="15" hidden="false" customHeight="false" outlineLevel="0" collapsed="false">
      <c r="A38" s="2" t="s">
        <v>1122</v>
      </c>
      <c r="B38" s="6" t="str">
        <f aca="false">CONCATENATE("Конденсатор ",K38," ёмкостью ",F38, " ", G38, ", ",H38," В, ",I38)</f>
        <v>Конденсатор 0603C ёмкостью 0,47 мк 10%, 50 В, X7R</v>
      </c>
      <c r="C38" s="2" t="s">
        <v>1015</v>
      </c>
      <c r="D38" s="2" t="s">
        <v>1017</v>
      </c>
      <c r="E38" s="2" t="s">
        <v>1015</v>
      </c>
      <c r="F38" s="2" t="s">
        <v>1123</v>
      </c>
      <c r="G38" s="7" t="s">
        <v>1047</v>
      </c>
      <c r="H38" s="2" t="n">
        <v>50</v>
      </c>
      <c r="I38" s="2" t="s">
        <v>1048</v>
      </c>
      <c r="J38" s="2" t="s">
        <v>1019</v>
      </c>
      <c r="K38" s="2" t="s">
        <v>1020</v>
      </c>
      <c r="L38" s="2" t="n">
        <v>470</v>
      </c>
      <c r="M38" s="2"/>
      <c r="N38" s="2"/>
    </row>
    <row r="39" customFormat="false" ht="15" hidden="false" customHeight="false" outlineLevel="0" collapsed="false">
      <c r="A39" s="2" t="s">
        <v>1124</v>
      </c>
      <c r="B39" s="6" t="str">
        <f aca="false">CONCATENATE("Конденсатор ",K39," ёмкостью ",F39, " ", G39, ", ",H39," В, ",I39)</f>
        <v>Конденсатор 0603C ёмкостью 0,56 мк 10%, 50 В, X7R</v>
      </c>
      <c r="C39" s="2" t="s">
        <v>1015</v>
      </c>
      <c r="D39" s="2" t="s">
        <v>1017</v>
      </c>
      <c r="E39" s="2" t="s">
        <v>1015</v>
      </c>
      <c r="F39" s="2" t="s">
        <v>1125</v>
      </c>
      <c r="G39" s="7" t="s">
        <v>1047</v>
      </c>
      <c r="H39" s="2" t="n">
        <v>50</v>
      </c>
      <c r="I39" s="2" t="s">
        <v>1048</v>
      </c>
      <c r="J39" s="2" t="s">
        <v>1019</v>
      </c>
      <c r="K39" s="2" t="s">
        <v>1020</v>
      </c>
      <c r="L39" s="2" t="n">
        <v>560</v>
      </c>
      <c r="M39" s="2"/>
      <c r="N39" s="2"/>
    </row>
    <row r="40" customFormat="false" ht="15" hidden="false" customHeight="false" outlineLevel="0" collapsed="false">
      <c r="A40" s="2" t="s">
        <v>1126</v>
      </c>
      <c r="B40" s="6" t="str">
        <f aca="false">CONCATENATE("Конденсатор ",K40," ёмкостью ",F40, " ", G40, ", ",H40," В, ",I40)</f>
        <v>Конденсатор 0603C ёмкостью 0,68 мк 10%, 50 В, X7R</v>
      </c>
      <c r="C40" s="2" t="s">
        <v>1015</v>
      </c>
      <c r="D40" s="2" t="s">
        <v>1017</v>
      </c>
      <c r="E40" s="2" t="s">
        <v>1015</v>
      </c>
      <c r="F40" s="2" t="s">
        <v>1127</v>
      </c>
      <c r="G40" s="7" t="s">
        <v>1047</v>
      </c>
      <c r="H40" s="2" t="n">
        <v>50</v>
      </c>
      <c r="I40" s="2" t="s">
        <v>1048</v>
      </c>
      <c r="J40" s="2" t="s">
        <v>1019</v>
      </c>
      <c r="K40" s="2" t="s">
        <v>1020</v>
      </c>
      <c r="L40" s="2" t="n">
        <v>680</v>
      </c>
      <c r="M40" s="2"/>
      <c r="N40" s="2"/>
    </row>
    <row r="41" customFormat="false" ht="15" hidden="false" customHeight="false" outlineLevel="0" collapsed="false">
      <c r="A41" s="2" t="s">
        <v>1128</v>
      </c>
      <c r="B41" s="6" t="str">
        <f aca="false">CONCATENATE("Конденсатор ",K41," ёмкостью ",F41, " ", G41, ", ",H41," В, ",I41)</f>
        <v>Конденсатор 0603C ёмкостью 0,82 мк 10%, 50 В, X7R</v>
      </c>
      <c r="C41" s="2" t="s">
        <v>1015</v>
      </c>
      <c r="D41" s="2" t="s">
        <v>1017</v>
      </c>
      <c r="E41" s="2" t="s">
        <v>1015</v>
      </c>
      <c r="F41" s="2" t="s">
        <v>1129</v>
      </c>
      <c r="G41" s="7" t="s">
        <v>1047</v>
      </c>
      <c r="H41" s="2" t="n">
        <v>50</v>
      </c>
      <c r="I41" s="2" t="s">
        <v>1048</v>
      </c>
      <c r="J41" s="2" t="s">
        <v>1019</v>
      </c>
      <c r="K41" s="2" t="s">
        <v>1020</v>
      </c>
      <c r="L41" s="2" t="n">
        <v>820</v>
      </c>
      <c r="M41" s="2"/>
      <c r="N41" s="2"/>
    </row>
    <row r="42" customFormat="false" ht="15" hidden="false" customHeight="false" outlineLevel="0" collapsed="false">
      <c r="A42" s="2" t="s">
        <v>1130</v>
      </c>
      <c r="B42" s="6" t="str">
        <f aca="false">CONCATENATE("Конденсатор ",K42," ёмкостью ",F42, " ", G42, ", ",H42," В, ",I42)</f>
        <v>Конденсатор 0603C ёмкостью 1 мк 10%, 25 В, X7R</v>
      </c>
      <c r="C42" s="2" t="s">
        <v>1015</v>
      </c>
      <c r="D42" s="2" t="s">
        <v>1017</v>
      </c>
      <c r="E42" s="2" t="s">
        <v>1015</v>
      </c>
      <c r="F42" s="2" t="s">
        <v>1131</v>
      </c>
      <c r="G42" s="7" t="s">
        <v>1047</v>
      </c>
      <c r="H42" s="2" t="s">
        <v>1132</v>
      </c>
      <c r="I42" s="2" t="s">
        <v>1048</v>
      </c>
      <c r="J42" s="2" t="s">
        <v>1019</v>
      </c>
      <c r="K42" s="2" t="s">
        <v>1020</v>
      </c>
      <c r="L42" s="2" t="n">
        <v>1000</v>
      </c>
      <c r="M42" s="2"/>
      <c r="N42" s="2"/>
    </row>
    <row r="43" customFormat="false" ht="15" hidden="false" customHeight="false" outlineLevel="0" collapsed="false">
      <c r="A43" s="2" t="s">
        <v>1133</v>
      </c>
      <c r="B43" s="6" t="str">
        <f aca="false">CONCATENATE("Конденсатор ",K43," ёмкостью ",F43, " ", G43, ", ",H43," В, ",I43)</f>
        <v>Конденсатор 1206C ёмкостью 2,2 мк 10%, 50 В, X7R</v>
      </c>
      <c r="C43" s="2" t="s">
        <v>1015</v>
      </c>
      <c r="D43" s="2" t="s">
        <v>1017</v>
      </c>
      <c r="E43" s="2" t="s">
        <v>1015</v>
      </c>
      <c r="F43" s="2" t="s">
        <v>1134</v>
      </c>
      <c r="G43" s="7" t="s">
        <v>1047</v>
      </c>
      <c r="H43" s="2" t="n">
        <v>50</v>
      </c>
      <c r="I43" s="2" t="s">
        <v>1048</v>
      </c>
      <c r="J43" s="2" t="s">
        <v>1135</v>
      </c>
      <c r="K43" s="2" t="s">
        <v>1136</v>
      </c>
      <c r="L43" s="2" t="s">
        <v>1137</v>
      </c>
      <c r="M43" s="2"/>
      <c r="N43" s="2"/>
    </row>
    <row r="44" customFormat="false" ht="15" hidden="false" customHeight="false" outlineLevel="0" collapsed="false">
      <c r="A44" s="2" t="s">
        <v>1138</v>
      </c>
      <c r="B44" s="6" t="str">
        <f aca="false">CONCATENATE("Конденсатор ",K44," ёмкостью ",F44, " ", G44, ", ",H44," В, ",I44)</f>
        <v>Конденсатор 1206C ёмкостью 4,7 мк 10%, 50 В, X7R</v>
      </c>
      <c r="C44" s="2" t="s">
        <v>1015</v>
      </c>
      <c r="D44" s="2" t="s">
        <v>1017</v>
      </c>
      <c r="E44" s="2" t="s">
        <v>1015</v>
      </c>
      <c r="F44" s="2" t="s">
        <v>1028</v>
      </c>
      <c r="G44" s="7" t="s">
        <v>1047</v>
      </c>
      <c r="H44" s="2" t="n">
        <v>50</v>
      </c>
      <c r="I44" s="2" t="s">
        <v>1048</v>
      </c>
      <c r="J44" s="2" t="s">
        <v>1135</v>
      </c>
      <c r="K44" s="2" t="s">
        <v>1136</v>
      </c>
      <c r="L44" s="2" t="n">
        <v>4700</v>
      </c>
      <c r="M44" s="2"/>
      <c r="N44" s="2"/>
    </row>
    <row r="45" customFormat="false" ht="15" hidden="false" customHeight="false" outlineLevel="0" collapsed="false">
      <c r="A45" s="2" t="s">
        <v>1139</v>
      </c>
      <c r="B45" s="6" t="str">
        <f aca="false">CONCATENATE("Конденсатор ",K45," ёмкостью ",F45, " ", G45, ", ",H45," В, ",I45)</f>
        <v>Конденсатор 1210C ёмкостью 10 мк 10%, 35 В, X7R</v>
      </c>
      <c r="C45" s="2" t="s">
        <v>1015</v>
      </c>
      <c r="D45" s="2" t="s">
        <v>1017</v>
      </c>
      <c r="E45" s="2" t="s">
        <v>1015</v>
      </c>
      <c r="F45" s="2" t="s">
        <v>1140</v>
      </c>
      <c r="G45" s="7" t="s">
        <v>1047</v>
      </c>
      <c r="H45" s="2" t="n">
        <v>35</v>
      </c>
      <c r="I45" s="2" t="s">
        <v>1048</v>
      </c>
      <c r="J45" s="2" t="s">
        <v>1141</v>
      </c>
      <c r="K45" s="2" t="s">
        <v>1142</v>
      </c>
      <c r="L45" s="2" t="n">
        <v>10000</v>
      </c>
      <c r="M45" s="2"/>
      <c r="N45" s="2"/>
    </row>
    <row r="46" customFormat="false" ht="15" hidden="false" customHeight="false" outlineLevel="0" collapsed="false">
      <c r="A46" s="2" t="s">
        <v>1143</v>
      </c>
      <c r="B46" s="6" t="str">
        <f aca="false">CONCATENATE("Конденсатор ",K46," ёмкостью ",F46, " ", G46, ", ",H46," В, ",I46)</f>
        <v>Конденсатор 1210C ёмкостью 22 мк 10%, 25 В, X7R</v>
      </c>
      <c r="C46" s="2" t="s">
        <v>1015</v>
      </c>
      <c r="D46" s="2" t="s">
        <v>1017</v>
      </c>
      <c r="E46" s="2" t="s">
        <v>1015</v>
      </c>
      <c r="F46" s="2" t="s">
        <v>1144</v>
      </c>
      <c r="G46" s="7" t="s">
        <v>1047</v>
      </c>
      <c r="H46" s="2" t="n">
        <v>25</v>
      </c>
      <c r="I46" s="2" t="s">
        <v>1048</v>
      </c>
      <c r="J46" s="2" t="s">
        <v>1141</v>
      </c>
      <c r="K46" s="2" t="s">
        <v>1142</v>
      </c>
      <c r="L46" s="2" t="n">
        <v>22000</v>
      </c>
      <c r="M46" s="2"/>
      <c r="N46" s="2"/>
    </row>
    <row r="47" customFormat="false" ht="15" hidden="false" customHeight="false" outlineLevel="0" collapsed="false">
      <c r="A47" s="2" t="s">
        <v>1145</v>
      </c>
      <c r="B47" s="6" t="str">
        <f aca="false">CONCATENATE("Конденсатор ",K47," ёмкостью ",F47, " ", G47, ", ",H47," В, ",I47)</f>
        <v>Конденсатор 1812C ёмкостью 0,1 мк 10%, 1000 В, X7R</v>
      </c>
      <c r="C47" s="2" t="s">
        <v>1015</v>
      </c>
      <c r="D47" s="2" t="s">
        <v>1017</v>
      </c>
      <c r="E47" s="2" t="s">
        <v>1015</v>
      </c>
      <c r="F47" s="2" t="s">
        <v>1018</v>
      </c>
      <c r="G47" s="7" t="s">
        <v>1047</v>
      </c>
      <c r="H47" s="2" t="n">
        <v>1000</v>
      </c>
      <c r="I47" s="2" t="s">
        <v>1048</v>
      </c>
      <c r="J47" s="2" t="s">
        <v>1146</v>
      </c>
      <c r="K47" s="2" t="s">
        <v>1147</v>
      </c>
      <c r="L47" s="2" t="n">
        <v>100</v>
      </c>
      <c r="M47" s="2"/>
      <c r="N47" s="2"/>
    </row>
    <row r="48" customFormat="false" ht="15" hidden="false" customHeight="false" outlineLevel="0" collapsed="false">
      <c r="A48" s="2" t="s">
        <v>1148</v>
      </c>
      <c r="B48" s="3" t="str">
        <f aca="false">CONCATENATE("Конденсатор ",K48," ёмкостью ",F48, " ", G48, ", ",H48," В, ",I48)</f>
        <v>Конденсатор 1210C ёмкостью 1н 10%, 1000 В, X7R</v>
      </c>
      <c r="C48" s="2" t="s">
        <v>1015</v>
      </c>
      <c r="D48" s="2" t="s">
        <v>1017</v>
      </c>
      <c r="E48" s="2" t="s">
        <v>1015</v>
      </c>
      <c r="F48" s="2" t="s">
        <v>1149</v>
      </c>
      <c r="G48" s="7" t="s">
        <v>1047</v>
      </c>
      <c r="H48" s="2" t="n">
        <v>1000</v>
      </c>
      <c r="I48" s="2" t="s">
        <v>1048</v>
      </c>
      <c r="J48" s="2" t="s">
        <v>1141</v>
      </c>
      <c r="K48" s="2" t="s">
        <v>1142</v>
      </c>
      <c r="L48" s="2" t="s">
        <v>1150</v>
      </c>
      <c r="M48" s="2" t="s">
        <v>1151</v>
      </c>
      <c r="N48" s="2" t="s">
        <v>35</v>
      </c>
    </row>
    <row r="49" customFormat="false" ht="15" hidden="false" customHeight="false" outlineLevel="0" collapsed="false">
      <c r="A49" s="2" t="s">
        <v>1152</v>
      </c>
      <c r="B49" s="3" t="str">
        <f aca="false">CONCATENATE("Конденсатор ",K49," ёмкостью ",F49, " ", G49, ", ",H49," В, ",I49)</f>
        <v>Конденсатор 0603C ёмкостью 22п 5%, 50 В, NP0</v>
      </c>
      <c r="C49" s="2" t="s">
        <v>1152</v>
      </c>
      <c r="D49" s="2" t="s">
        <v>1017</v>
      </c>
      <c r="E49" s="2" t="s">
        <v>1015</v>
      </c>
      <c r="F49" s="2" t="s">
        <v>1153</v>
      </c>
      <c r="G49" s="10" t="s">
        <v>1154</v>
      </c>
      <c r="H49" s="2" t="s">
        <v>1155</v>
      </c>
      <c r="I49" s="2" t="s">
        <v>1156</v>
      </c>
      <c r="J49" s="2" t="s">
        <v>1019</v>
      </c>
      <c r="K49" s="2" t="s">
        <v>1020</v>
      </c>
      <c r="L49" s="2" t="s">
        <v>1157</v>
      </c>
      <c r="M49" s="2" t="s">
        <v>1158</v>
      </c>
      <c r="N49" s="2" t="s">
        <v>35</v>
      </c>
    </row>
    <row r="50" customFormat="false" ht="15" hidden="false" customHeight="false" outlineLevel="0" collapsed="false">
      <c r="A50" s="2" t="s">
        <v>1159</v>
      </c>
      <c r="B50" s="9" t="str">
        <f aca="false">CONCATENATE("Конденсатор ",K50," ёмкостью ",F50, " ", G50, ", ",H50," В, ",I50)</f>
        <v>Конденсатор 0402C ёмкостью 0,1 мк 10%, 16 В, X7R</v>
      </c>
      <c r="C50" s="2" t="s">
        <v>1015</v>
      </c>
      <c r="D50" s="2" t="s">
        <v>1017</v>
      </c>
      <c r="E50" s="2" t="s">
        <v>1015</v>
      </c>
      <c r="F50" s="2" t="s">
        <v>1018</v>
      </c>
      <c r="G50" s="10" t="s">
        <v>1047</v>
      </c>
      <c r="H50" s="2" t="s">
        <v>493</v>
      </c>
      <c r="I50" s="2" t="s">
        <v>1048</v>
      </c>
      <c r="J50" s="2" t="s">
        <v>1160</v>
      </c>
      <c r="K50" s="2" t="s">
        <v>1161</v>
      </c>
      <c r="L50" s="2" t="n">
        <v>100</v>
      </c>
      <c r="M50" s="2"/>
      <c r="N50" s="2" t="s">
        <v>35</v>
      </c>
    </row>
    <row r="51" customFormat="false" ht="15" hidden="false" customHeight="false" outlineLevel="0" collapsed="false">
      <c r="A51" s="2" t="s">
        <v>1162</v>
      </c>
      <c r="B51" s="3" t="str">
        <f aca="false">CONCATENATE("Конденсатор ",K51," ёмкостью ",F51, " ", G51, ", ",H51," В, ",I51)</f>
        <v>Конденсатор 1210C ёмкостью 100 мк 20%, 16 В, X5R</v>
      </c>
      <c r="C51" s="2" t="s">
        <v>1162</v>
      </c>
      <c r="D51" s="2" t="s">
        <v>1017</v>
      </c>
      <c r="E51" s="2" t="s">
        <v>1015</v>
      </c>
      <c r="F51" s="2" t="s">
        <v>1163</v>
      </c>
      <c r="G51" s="10" t="s">
        <v>1164</v>
      </c>
      <c r="H51" s="2" t="s">
        <v>493</v>
      </c>
      <c r="I51" s="2" t="s">
        <v>1165</v>
      </c>
      <c r="J51" s="2" t="s">
        <v>1141</v>
      </c>
      <c r="K51" s="2" t="s">
        <v>1142</v>
      </c>
      <c r="L51" s="2" t="s">
        <v>1166</v>
      </c>
      <c r="M51" s="2" t="s">
        <v>1167</v>
      </c>
      <c r="N51" s="2" t="s">
        <v>35</v>
      </c>
    </row>
    <row r="52" customFormat="false" ht="15" hidden="false" customHeight="false" outlineLevel="0" collapsed="false">
      <c r="A52" s="2" t="s">
        <v>1168</v>
      </c>
      <c r="B52" s="3" t="str">
        <f aca="false">CONCATENATE("Конденсатор ",K52," ёмкостью ",F52, " ", G52, ", ",H52," В, ",I52)</f>
        <v>Конденсатор 1206C ёмкостью 47 мк 20%, 25 В, X5R</v>
      </c>
      <c r="C52" s="2" t="s">
        <v>1168</v>
      </c>
      <c r="D52" s="2" t="s">
        <v>1017</v>
      </c>
      <c r="E52" s="2" t="s">
        <v>1015</v>
      </c>
      <c r="F52" s="2" t="s">
        <v>1169</v>
      </c>
      <c r="G52" s="10" t="s">
        <v>1164</v>
      </c>
      <c r="H52" s="2" t="s">
        <v>1132</v>
      </c>
      <c r="I52" s="2" t="s">
        <v>1165</v>
      </c>
      <c r="J52" s="2" t="s">
        <v>1135</v>
      </c>
      <c r="K52" s="2" t="s">
        <v>1136</v>
      </c>
      <c r="L52" s="2" t="s">
        <v>1170</v>
      </c>
      <c r="M52" s="2" t="s">
        <v>1158</v>
      </c>
      <c r="N52" s="2" t="s">
        <v>35</v>
      </c>
    </row>
    <row r="53" customFormat="false" ht="15" hidden="false" customHeight="false" outlineLevel="0" collapsed="false">
      <c r="A53" s="2" t="s">
        <v>1171</v>
      </c>
      <c r="B53" s="9" t="str">
        <f aca="false">CONCATENATE("Конденсатор ",K53," ёмкостью ",F53, " ", G53, ", ",H53," В, ",I53)</f>
        <v>Конденсатор 0603C ёмкостью 1 н 5%, 50 В, NP0</v>
      </c>
      <c r="C53" s="2" t="s">
        <v>1015</v>
      </c>
      <c r="D53" s="2" t="s">
        <v>1017</v>
      </c>
      <c r="E53" s="2" t="s">
        <v>1015</v>
      </c>
      <c r="F53" s="2" t="s">
        <v>1060</v>
      </c>
      <c r="G53" s="10" t="s">
        <v>1154</v>
      </c>
      <c r="H53" s="2" t="n">
        <v>50</v>
      </c>
      <c r="I53" s="2" t="s">
        <v>1156</v>
      </c>
      <c r="J53" s="2" t="s">
        <v>1019</v>
      </c>
      <c r="K53" s="2" t="s">
        <v>1020</v>
      </c>
      <c r="L53" s="2" t="n">
        <v>1</v>
      </c>
      <c r="M53" s="2"/>
      <c r="N53" s="2" t="s">
        <v>146</v>
      </c>
    </row>
    <row r="54" customFormat="false" ht="15" hidden="false" customHeight="false" outlineLevel="0" collapsed="false">
      <c r="A54" s="2" t="s">
        <v>1172</v>
      </c>
      <c r="B54" s="9" t="str">
        <f aca="false">CONCATENATE("Конденсатор ",K54," ёмкостью ",F54, " ", G54, ", ",H54," В, ",I54)</f>
        <v>Конденсатор 0603C ёмкостью 3,3 н 5%, 50 В, NP0</v>
      </c>
      <c r="C54" s="2" t="s">
        <v>1015</v>
      </c>
      <c r="D54" s="2" t="s">
        <v>1017</v>
      </c>
      <c r="E54" s="2" t="s">
        <v>1015</v>
      </c>
      <c r="F54" s="2" t="s">
        <v>1072</v>
      </c>
      <c r="G54" s="10" t="s">
        <v>1154</v>
      </c>
      <c r="H54" s="2" t="n">
        <v>50</v>
      </c>
      <c r="I54" s="2" t="s">
        <v>1156</v>
      </c>
      <c r="J54" s="2" t="s">
        <v>1019</v>
      </c>
      <c r="K54" s="2" t="s">
        <v>1020</v>
      </c>
      <c r="L54" s="2" t="s">
        <v>445</v>
      </c>
      <c r="M54" s="2"/>
      <c r="N54" s="2" t="s">
        <v>146</v>
      </c>
    </row>
    <row r="55" customFormat="false" ht="16.4" hidden="false" customHeight="false" outlineLevel="0" collapsed="false">
      <c r="A55" s="2" t="s">
        <v>1173</v>
      </c>
      <c r="B55" s="9" t="str">
        <f aca="false">CONCATENATE("Конденсатор ",K55," ёмкостью ",F55, " ", G55, ", ",H55," В, ",I55)</f>
        <v>Конденсатор 0603C ёмкостью 10 мк 10%, 10 В, X7R</v>
      </c>
      <c r="C55" s="2" t="s">
        <v>1015</v>
      </c>
      <c r="D55" s="2" t="s">
        <v>1017</v>
      </c>
      <c r="E55" s="2" t="s">
        <v>1015</v>
      </c>
      <c r="F55" s="2" t="s">
        <v>1140</v>
      </c>
      <c r="G55" s="10" t="s">
        <v>1047</v>
      </c>
      <c r="H55" s="2" t="s">
        <v>294</v>
      </c>
      <c r="I55" s="2" t="s">
        <v>1048</v>
      </c>
      <c r="J55" s="2" t="s">
        <v>1141</v>
      </c>
      <c r="K55" s="2" t="s">
        <v>1020</v>
      </c>
      <c r="L55" s="2" t="n">
        <v>10000</v>
      </c>
      <c r="M55" s="50" t="s">
        <v>1174</v>
      </c>
      <c r="N55" s="2" t="s">
        <v>146</v>
      </c>
    </row>
    <row r="56" customFormat="false" ht="15" hidden="false" customHeight="false" outlineLevel="0" collapsed="false">
      <c r="A56" s="2" t="s">
        <v>1175</v>
      </c>
      <c r="B56" s="9" t="str">
        <f aca="false">CONCATENATE("Конденсатор ",K56," ёмкостью ",F56, " ", G56, ", ",H56," В, ",I56)</f>
        <v>Конденсатор 0603C ёмкостью 12 п 5%, 50 В, NP0</v>
      </c>
      <c r="C56" s="2" t="s">
        <v>1015</v>
      </c>
      <c r="D56" s="2" t="s">
        <v>1017</v>
      </c>
      <c r="E56" s="2" t="s">
        <v>1015</v>
      </c>
      <c r="F56" s="2" t="s">
        <v>1176</v>
      </c>
      <c r="G56" s="10" t="s">
        <v>1154</v>
      </c>
      <c r="H56" s="2" t="n">
        <v>50</v>
      </c>
      <c r="I56" s="2" t="s">
        <v>1156</v>
      </c>
      <c r="J56" s="2" t="s">
        <v>1019</v>
      </c>
      <c r="K56" s="2" t="s">
        <v>1020</v>
      </c>
      <c r="L56" s="2" t="s">
        <v>1177</v>
      </c>
      <c r="M56" s="2"/>
      <c r="N56" s="2" t="s">
        <v>146</v>
      </c>
    </row>
    <row r="57" customFormat="false" ht="15" hidden="false" customHeight="false" outlineLevel="0" collapsed="false">
      <c r="A57" s="2" t="s">
        <v>1178</v>
      </c>
      <c r="B57" s="3" t="str">
        <f aca="false">CONCATENATE("Конденсатор ",K57," ёмкостью ",F57, " ", G57, ", ",H57," В, ",I57)</f>
        <v>Конденсатор 1206C ёмкостью 100 п 5%, 630 В, NP0</v>
      </c>
      <c r="C57" s="2" t="s">
        <v>1015</v>
      </c>
      <c r="D57" s="2" t="s">
        <v>1017</v>
      </c>
      <c r="E57" s="2" t="s">
        <v>1015</v>
      </c>
      <c r="F57" s="2" t="s">
        <v>1051</v>
      </c>
      <c r="G57" s="10" t="s">
        <v>1154</v>
      </c>
      <c r="H57" s="2" t="s">
        <v>1179</v>
      </c>
      <c r="I57" s="2" t="s">
        <v>1156</v>
      </c>
      <c r="J57" s="2" t="s">
        <v>1019</v>
      </c>
      <c r="K57" s="2" t="s">
        <v>1136</v>
      </c>
      <c r="L57" s="2" t="s">
        <v>1052</v>
      </c>
      <c r="M57" s="2"/>
      <c r="N57" s="2" t="s">
        <v>146</v>
      </c>
    </row>
  </sheetData>
  <hyperlinks>
    <hyperlink ref="M55" r:id="rId1" display="https://static.chipdip.ru/lib/893/DOC03189341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30"/>
  <sheetViews>
    <sheetView showFormulas="false" showGridLines="true" showRowColHeaders="true" showZeros="true" rightToLeft="false" tabSelected="false" showOutlineSymbols="true" defaultGridColor="true" view="normal" topLeftCell="I1" colorId="64" zoomScale="70" zoomScaleNormal="70" zoomScalePageLayoutView="100" workbookViewId="0">
      <selection pane="topLeft" activeCell="Q28" activeCellId="0" sqref="Q28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7.57"/>
    <col collapsed="false" customWidth="true" hidden="false" outlineLevel="0" max="2" min="2" style="0" width="23.28"/>
    <col collapsed="false" customWidth="true" hidden="false" outlineLevel="0" max="3" min="3" style="0" width="12.29"/>
    <col collapsed="false" customWidth="true" hidden="false" outlineLevel="0" max="4" min="4" style="0" width="29.43"/>
    <col collapsed="false" customWidth="true" hidden="false" outlineLevel="0" max="5" min="5" style="0" width="14.29"/>
    <col collapsed="false" customWidth="true" hidden="false" outlineLevel="0" max="6" min="6" style="0" width="8.29"/>
    <col collapsed="false" customWidth="true" hidden="false" outlineLevel="0" max="7" min="7" style="0" width="12.29"/>
    <col collapsed="false" customWidth="true" hidden="false" outlineLevel="0" max="8" min="8" style="0" width="13"/>
    <col collapsed="false" customWidth="true" hidden="false" outlineLevel="0" max="9" min="9" style="0" width="8.72"/>
    <col collapsed="false" customWidth="true" hidden="false" outlineLevel="0" max="10" min="10" style="0" width="30.29"/>
    <col collapsed="false" customWidth="true" hidden="false" outlineLevel="0" max="11" min="11" style="0" width="16.72"/>
    <col collapsed="false" customWidth="true" hidden="false" outlineLevel="0" max="12" min="12" style="0" width="14.71"/>
    <col collapsed="false" customWidth="true" hidden="false" outlineLevel="0" max="13" min="13" style="0" width="19.28"/>
    <col collapsed="false" customWidth="true" hidden="false" outlineLevel="0" max="14" min="14" style="0" width="18.43"/>
    <col collapsed="false" customWidth="true" hidden="false" outlineLevel="0" max="15" min="15" style="0" width="13.29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0" t="s">
        <v>401</v>
      </c>
      <c r="H1" s="40" t="s">
        <v>233</v>
      </c>
      <c r="I1" s="40" t="s">
        <v>1180</v>
      </c>
      <c r="J1" s="40" t="s">
        <v>5</v>
      </c>
      <c r="K1" s="40" t="s">
        <v>6</v>
      </c>
      <c r="L1" s="51" t="s">
        <v>1181</v>
      </c>
      <c r="M1" s="40" t="s">
        <v>7</v>
      </c>
      <c r="N1" s="40" t="s">
        <v>8</v>
      </c>
      <c r="O1" s="42" t="s">
        <v>11</v>
      </c>
      <c r="P1" s="42" t="s">
        <v>12</v>
      </c>
    </row>
    <row r="2" customFormat="false" ht="15" hidden="false" customHeight="false" outlineLevel="0" collapsed="false">
      <c r="A2" s="2" t="s">
        <v>1182</v>
      </c>
      <c r="B2" s="2" t="s">
        <v>1183</v>
      </c>
      <c r="C2" s="2" t="s">
        <v>1015</v>
      </c>
      <c r="D2" s="2" t="s">
        <v>1027</v>
      </c>
      <c r="E2" s="2" t="s">
        <v>1025</v>
      </c>
      <c r="F2" s="2" t="s">
        <v>1131</v>
      </c>
      <c r="G2" s="0" t="n">
        <v>0.1</v>
      </c>
      <c r="H2" s="0" t="n">
        <v>50</v>
      </c>
      <c r="I2" s="2" t="s">
        <v>1184</v>
      </c>
      <c r="J2" s="2" t="s">
        <v>1029</v>
      </c>
      <c r="K2" s="2" t="s">
        <v>1030</v>
      </c>
      <c r="L2" s="0" t="n">
        <v>1</v>
      </c>
    </row>
    <row r="3" customFormat="false" ht="15" hidden="false" customHeight="false" outlineLevel="0" collapsed="false">
      <c r="A3" s="2" t="s">
        <v>1185</v>
      </c>
      <c r="B3" s="2" t="s">
        <v>1183</v>
      </c>
      <c r="C3" s="2" t="s">
        <v>1015</v>
      </c>
      <c r="D3" s="2" t="s">
        <v>1027</v>
      </c>
      <c r="E3" s="2" t="s">
        <v>1025</v>
      </c>
      <c r="F3" s="2" t="s">
        <v>1186</v>
      </c>
      <c r="G3" s="0" t="n">
        <v>0.1</v>
      </c>
      <c r="H3" s="0" t="n">
        <v>50</v>
      </c>
      <c r="I3" s="2" t="s">
        <v>1184</v>
      </c>
      <c r="J3" s="2" t="s">
        <v>1029</v>
      </c>
      <c r="K3" s="2" t="s">
        <v>1030</v>
      </c>
      <c r="L3" s="0" t="n">
        <v>1.5</v>
      </c>
    </row>
    <row r="4" customFormat="false" ht="15" hidden="false" customHeight="false" outlineLevel="0" collapsed="false">
      <c r="A4" s="2" t="s">
        <v>1187</v>
      </c>
      <c r="B4" s="2" t="s">
        <v>1183</v>
      </c>
      <c r="C4" s="2" t="s">
        <v>1015</v>
      </c>
      <c r="D4" s="2" t="s">
        <v>1027</v>
      </c>
      <c r="E4" s="2" t="s">
        <v>1025</v>
      </c>
      <c r="F4" s="2" t="s">
        <v>1134</v>
      </c>
      <c r="G4" s="0" t="n">
        <v>0.1</v>
      </c>
      <c r="H4" s="0" t="n">
        <v>50</v>
      </c>
      <c r="I4" s="2" t="s">
        <v>1184</v>
      </c>
      <c r="J4" s="2" t="s">
        <v>1029</v>
      </c>
      <c r="K4" s="2" t="s">
        <v>1030</v>
      </c>
      <c r="L4" s="0" t="n">
        <v>2.2</v>
      </c>
    </row>
    <row r="5" customFormat="false" ht="15" hidden="false" customHeight="false" outlineLevel="0" collapsed="false">
      <c r="A5" s="2" t="s">
        <v>1188</v>
      </c>
      <c r="B5" s="2" t="s">
        <v>1183</v>
      </c>
      <c r="C5" s="2" t="s">
        <v>1015</v>
      </c>
      <c r="D5" s="2" t="s">
        <v>1027</v>
      </c>
      <c r="E5" s="2" t="s">
        <v>1025</v>
      </c>
      <c r="F5" s="2" t="s">
        <v>1189</v>
      </c>
      <c r="G5" s="0" t="n">
        <v>0.1</v>
      </c>
      <c r="H5" s="0" t="n">
        <v>50</v>
      </c>
      <c r="I5" s="2" t="s">
        <v>1184</v>
      </c>
      <c r="J5" s="2" t="s">
        <v>1029</v>
      </c>
      <c r="K5" s="2" t="s">
        <v>1030</v>
      </c>
      <c r="L5" s="0" t="n">
        <v>3.3</v>
      </c>
    </row>
    <row r="6" customFormat="false" ht="15" hidden="false" customHeight="false" outlineLevel="0" collapsed="false">
      <c r="A6" s="2" t="s">
        <v>1190</v>
      </c>
      <c r="B6" s="2" t="s">
        <v>1183</v>
      </c>
      <c r="C6" s="2" t="s">
        <v>1015</v>
      </c>
      <c r="D6" s="2" t="s">
        <v>1027</v>
      </c>
      <c r="E6" s="2" t="s">
        <v>1025</v>
      </c>
      <c r="F6" s="2" t="s">
        <v>1028</v>
      </c>
      <c r="G6" s="0" t="n">
        <v>0.1</v>
      </c>
      <c r="H6" s="0" t="n">
        <v>50</v>
      </c>
      <c r="I6" s="2" t="s">
        <v>1184</v>
      </c>
      <c r="J6" s="2" t="s">
        <v>1029</v>
      </c>
      <c r="K6" s="2" t="s">
        <v>1030</v>
      </c>
      <c r="L6" s="0" t="n">
        <v>4.7</v>
      </c>
    </row>
    <row r="7" customFormat="false" ht="15" hidden="false" customHeight="false" outlineLevel="0" collapsed="false">
      <c r="A7" s="2" t="s">
        <v>1191</v>
      </c>
      <c r="B7" s="2" t="s">
        <v>1183</v>
      </c>
      <c r="C7" s="2" t="s">
        <v>1015</v>
      </c>
      <c r="D7" s="2" t="s">
        <v>1027</v>
      </c>
      <c r="E7" s="2" t="s">
        <v>1025</v>
      </c>
      <c r="F7" s="2" t="s">
        <v>1192</v>
      </c>
      <c r="G7" s="0" t="n">
        <v>0.1</v>
      </c>
      <c r="H7" s="0" t="n">
        <v>50</v>
      </c>
      <c r="I7" s="2" t="s">
        <v>1184</v>
      </c>
      <c r="J7" s="2" t="s">
        <v>1029</v>
      </c>
      <c r="K7" s="2" t="s">
        <v>1030</v>
      </c>
      <c r="L7" s="0" t="n">
        <v>6.8</v>
      </c>
    </row>
    <row r="8" customFormat="false" ht="15" hidden="false" customHeight="false" outlineLevel="0" collapsed="false">
      <c r="A8" s="2" t="s">
        <v>1193</v>
      </c>
      <c r="B8" s="2" t="s">
        <v>1183</v>
      </c>
      <c r="C8" s="2" t="s">
        <v>1015</v>
      </c>
      <c r="D8" s="2" t="s">
        <v>1027</v>
      </c>
      <c r="E8" s="2" t="s">
        <v>1025</v>
      </c>
      <c r="F8" s="2" t="s">
        <v>1140</v>
      </c>
      <c r="G8" s="0" t="n">
        <v>0.1</v>
      </c>
      <c r="H8" s="0" t="n">
        <v>50</v>
      </c>
      <c r="I8" s="2" t="s">
        <v>1184</v>
      </c>
      <c r="J8" s="2" t="s">
        <v>1029</v>
      </c>
      <c r="K8" s="2" t="s">
        <v>1030</v>
      </c>
      <c r="L8" s="0" t="n">
        <v>10</v>
      </c>
    </row>
    <row r="9" customFormat="false" ht="15" hidden="false" customHeight="false" outlineLevel="0" collapsed="false">
      <c r="A9" s="2" t="s">
        <v>1194</v>
      </c>
      <c r="B9" s="2" t="s">
        <v>1183</v>
      </c>
      <c r="C9" s="2" t="s">
        <v>1015</v>
      </c>
      <c r="D9" s="2" t="s">
        <v>1027</v>
      </c>
      <c r="E9" s="2" t="s">
        <v>1025</v>
      </c>
      <c r="F9" s="2" t="s">
        <v>1195</v>
      </c>
      <c r="G9" s="0" t="n">
        <v>0.1</v>
      </c>
      <c r="H9" s="0" t="n">
        <v>50</v>
      </c>
      <c r="I9" s="2" t="s">
        <v>1184</v>
      </c>
      <c r="J9" s="2" t="s">
        <v>1029</v>
      </c>
      <c r="K9" s="2" t="s">
        <v>1030</v>
      </c>
      <c r="L9" s="0" t="n">
        <v>15</v>
      </c>
    </row>
    <row r="10" customFormat="false" ht="15" hidden="false" customHeight="false" outlineLevel="0" collapsed="false">
      <c r="A10" s="2" t="s">
        <v>1196</v>
      </c>
      <c r="B10" s="2" t="s">
        <v>1183</v>
      </c>
      <c r="C10" s="2" t="s">
        <v>1015</v>
      </c>
      <c r="D10" s="2" t="s">
        <v>1027</v>
      </c>
      <c r="E10" s="2" t="s">
        <v>1025</v>
      </c>
      <c r="F10" s="2" t="s">
        <v>1144</v>
      </c>
      <c r="G10" s="0" t="n">
        <v>0.1</v>
      </c>
      <c r="H10" s="0" t="n">
        <v>50</v>
      </c>
      <c r="I10" s="2" t="s">
        <v>1184</v>
      </c>
      <c r="J10" s="2" t="s">
        <v>1029</v>
      </c>
      <c r="K10" s="2" t="s">
        <v>1030</v>
      </c>
      <c r="L10" s="0" t="n">
        <v>22</v>
      </c>
    </row>
    <row r="11" customFormat="false" ht="15" hidden="false" customHeight="false" outlineLevel="0" collapsed="false">
      <c r="A11" s="2" t="s">
        <v>1197</v>
      </c>
      <c r="B11" s="2" t="s">
        <v>1183</v>
      </c>
      <c r="C11" s="2" t="s">
        <v>1015</v>
      </c>
      <c r="D11" s="2" t="s">
        <v>1027</v>
      </c>
      <c r="E11" s="2" t="s">
        <v>1025</v>
      </c>
      <c r="F11" s="2" t="s">
        <v>1198</v>
      </c>
      <c r="G11" s="0" t="n">
        <v>0.1</v>
      </c>
      <c r="H11" s="0" t="n">
        <v>50</v>
      </c>
      <c r="I11" s="2" t="s">
        <v>1184</v>
      </c>
      <c r="J11" s="2" t="s">
        <v>1029</v>
      </c>
      <c r="K11" s="2" t="s">
        <v>1030</v>
      </c>
      <c r="L11" s="0" t="n">
        <v>33</v>
      </c>
    </row>
    <row r="12" customFormat="false" ht="15" hidden="false" customHeight="false" outlineLevel="0" collapsed="false">
      <c r="A12" s="2" t="s">
        <v>1199</v>
      </c>
      <c r="B12" s="2" t="s">
        <v>1183</v>
      </c>
      <c r="C12" s="2" t="s">
        <v>1015</v>
      </c>
      <c r="D12" s="2" t="s">
        <v>1027</v>
      </c>
      <c r="E12" s="2" t="s">
        <v>1025</v>
      </c>
      <c r="F12" s="2" t="s">
        <v>1169</v>
      </c>
      <c r="G12" s="0" t="n">
        <v>0.1</v>
      </c>
      <c r="H12" s="0" t="n">
        <v>50</v>
      </c>
      <c r="I12" s="2" t="s">
        <v>1184</v>
      </c>
      <c r="J12" s="2" t="s">
        <v>1029</v>
      </c>
      <c r="K12" s="2" t="s">
        <v>1030</v>
      </c>
      <c r="L12" s="0" t="n">
        <v>47</v>
      </c>
    </row>
    <row r="13" customFormat="false" ht="15" hidden="false" customHeight="false" outlineLevel="0" collapsed="false">
      <c r="A13" s="2" t="s">
        <v>1200</v>
      </c>
      <c r="B13" s="2" t="s">
        <v>1183</v>
      </c>
      <c r="C13" s="2" t="s">
        <v>1015</v>
      </c>
      <c r="D13" s="2" t="s">
        <v>1027</v>
      </c>
      <c r="E13" s="2" t="s">
        <v>1025</v>
      </c>
      <c r="F13" s="2" t="s">
        <v>1201</v>
      </c>
      <c r="G13" s="0" t="n">
        <v>0.1</v>
      </c>
      <c r="H13" s="0" t="n">
        <v>50</v>
      </c>
      <c r="I13" s="2" t="s">
        <v>1184</v>
      </c>
      <c r="J13" s="2" t="s">
        <v>1029</v>
      </c>
      <c r="K13" s="2" t="s">
        <v>1030</v>
      </c>
      <c r="L13" s="0" t="n">
        <v>68</v>
      </c>
    </row>
    <row r="14" customFormat="false" ht="15" hidden="false" customHeight="false" outlineLevel="0" collapsed="false">
      <c r="A14" s="2" t="s">
        <v>1202</v>
      </c>
      <c r="B14" s="2" t="s">
        <v>1183</v>
      </c>
      <c r="C14" s="2" t="s">
        <v>1015</v>
      </c>
      <c r="D14" s="2" t="s">
        <v>1027</v>
      </c>
      <c r="E14" s="2" t="s">
        <v>1025</v>
      </c>
      <c r="F14" s="2" t="s">
        <v>1163</v>
      </c>
      <c r="G14" s="0" t="n">
        <v>0.1</v>
      </c>
      <c r="H14" s="0" t="n">
        <v>50</v>
      </c>
      <c r="I14" s="2" t="s">
        <v>1184</v>
      </c>
      <c r="J14" s="2" t="s">
        <v>1029</v>
      </c>
      <c r="K14" s="2" t="s">
        <v>1030</v>
      </c>
      <c r="L14" s="0" t="n">
        <v>100</v>
      </c>
    </row>
    <row r="15" customFormat="false" ht="15" hidden="false" customHeight="false" outlineLevel="0" collapsed="false">
      <c r="A15" s="2" t="s">
        <v>1203</v>
      </c>
      <c r="B15" s="2" t="s">
        <v>1183</v>
      </c>
      <c r="C15" s="2" t="s">
        <v>1015</v>
      </c>
      <c r="D15" s="2" t="s">
        <v>1027</v>
      </c>
      <c r="E15" s="2" t="s">
        <v>1025</v>
      </c>
      <c r="F15" s="2" t="s">
        <v>1204</v>
      </c>
      <c r="G15" s="0" t="n">
        <v>0.1</v>
      </c>
      <c r="H15" s="0" t="n">
        <v>50</v>
      </c>
      <c r="I15" s="2" t="s">
        <v>1184</v>
      </c>
      <c r="J15" s="2" t="s">
        <v>1029</v>
      </c>
      <c r="K15" s="2" t="s">
        <v>1030</v>
      </c>
      <c r="L15" s="0" t="n">
        <v>150</v>
      </c>
    </row>
    <row r="16" customFormat="false" ht="15" hidden="false" customHeight="false" outlineLevel="0" collapsed="false">
      <c r="A16" s="2" t="s">
        <v>1205</v>
      </c>
      <c r="B16" s="2" t="s">
        <v>1183</v>
      </c>
      <c r="C16" s="2" t="s">
        <v>1015</v>
      </c>
      <c r="D16" s="2" t="s">
        <v>1027</v>
      </c>
      <c r="E16" s="2" t="s">
        <v>1025</v>
      </c>
      <c r="F16" s="2" t="s">
        <v>1206</v>
      </c>
      <c r="G16" s="0" t="n">
        <v>0.1</v>
      </c>
      <c r="H16" s="0" t="n">
        <v>50</v>
      </c>
      <c r="I16" s="2" t="s">
        <v>1184</v>
      </c>
      <c r="J16" s="2" t="s">
        <v>1029</v>
      </c>
      <c r="K16" s="2" t="s">
        <v>1030</v>
      </c>
      <c r="L16" s="0" t="n">
        <v>220</v>
      </c>
    </row>
    <row r="17" customFormat="false" ht="15" hidden="false" customHeight="false" outlineLevel="0" collapsed="false">
      <c r="A17" s="2" t="s">
        <v>1207</v>
      </c>
      <c r="B17" s="2" t="s">
        <v>1183</v>
      </c>
      <c r="C17" s="2" t="s">
        <v>1015</v>
      </c>
      <c r="D17" s="2" t="s">
        <v>1027</v>
      </c>
      <c r="E17" s="2" t="s">
        <v>1025</v>
      </c>
      <c r="F17" s="2" t="s">
        <v>1208</v>
      </c>
      <c r="G17" s="0" t="n">
        <v>0.1</v>
      </c>
      <c r="H17" s="0" t="n">
        <v>50</v>
      </c>
      <c r="I17" s="2" t="s">
        <v>1184</v>
      </c>
      <c r="J17" s="2" t="s">
        <v>1029</v>
      </c>
      <c r="K17" s="2" t="s">
        <v>1030</v>
      </c>
      <c r="L17" s="0" t="n">
        <v>330</v>
      </c>
    </row>
    <row r="18" customFormat="false" ht="15" hidden="false" customHeight="false" outlineLevel="0" collapsed="false">
      <c r="A18" s="2" t="s">
        <v>1209</v>
      </c>
      <c r="B18" s="2" t="s">
        <v>1183</v>
      </c>
      <c r="C18" s="2" t="s">
        <v>1015</v>
      </c>
      <c r="D18" s="2" t="s">
        <v>1027</v>
      </c>
      <c r="E18" s="2" t="s">
        <v>1025</v>
      </c>
      <c r="F18" s="2" t="s">
        <v>1210</v>
      </c>
      <c r="G18" s="0" t="n">
        <v>0.1</v>
      </c>
      <c r="H18" s="0" t="n">
        <v>50</v>
      </c>
      <c r="I18" s="2" t="s">
        <v>1184</v>
      </c>
      <c r="J18" s="2" t="s">
        <v>1029</v>
      </c>
      <c r="K18" s="2" t="s">
        <v>1030</v>
      </c>
      <c r="L18" s="0" t="n">
        <v>470</v>
      </c>
    </row>
    <row r="19" customFormat="false" ht="15" hidden="false" customHeight="false" outlineLevel="0" collapsed="false">
      <c r="A19" s="2" t="s">
        <v>1211</v>
      </c>
      <c r="B19" s="2" t="s">
        <v>1183</v>
      </c>
      <c r="C19" s="2" t="s">
        <v>1015</v>
      </c>
      <c r="D19" s="2" t="s">
        <v>1027</v>
      </c>
      <c r="E19" s="2" t="s">
        <v>1025</v>
      </c>
      <c r="F19" s="2" t="s">
        <v>1212</v>
      </c>
      <c r="G19" s="0" t="n">
        <v>0.1</v>
      </c>
      <c r="H19" s="0" t="n">
        <v>50</v>
      </c>
      <c r="I19" s="2" t="s">
        <v>1184</v>
      </c>
      <c r="J19" s="2" t="s">
        <v>1029</v>
      </c>
      <c r="K19" s="2" t="s">
        <v>1030</v>
      </c>
      <c r="L19" s="0" t="n">
        <v>680</v>
      </c>
    </row>
    <row r="20" customFormat="false" ht="15" hidden="false" customHeight="false" outlineLevel="0" collapsed="false">
      <c r="A20" s="2" t="s">
        <v>1213</v>
      </c>
      <c r="B20" s="2" t="s">
        <v>1183</v>
      </c>
      <c r="C20" s="2" t="s">
        <v>1015</v>
      </c>
      <c r="D20" s="2" t="s">
        <v>1027</v>
      </c>
      <c r="E20" s="2" t="s">
        <v>1025</v>
      </c>
      <c r="F20" s="2" t="s">
        <v>1214</v>
      </c>
      <c r="G20" s="0" t="n">
        <v>0.1</v>
      </c>
      <c r="H20" s="0" t="n">
        <v>50</v>
      </c>
      <c r="I20" s="2" t="s">
        <v>1184</v>
      </c>
      <c r="J20" s="2" t="s">
        <v>1029</v>
      </c>
      <c r="K20" s="2" t="s">
        <v>1030</v>
      </c>
      <c r="L20" s="0" t="n">
        <v>1000</v>
      </c>
    </row>
    <row r="21" customFormat="false" ht="15" hidden="false" customHeight="false" outlineLevel="0" collapsed="false">
      <c r="A21" s="2" t="s">
        <v>1215</v>
      </c>
      <c r="B21" s="3" t="s">
        <v>1216</v>
      </c>
      <c r="C21" s="2" t="s">
        <v>1015</v>
      </c>
      <c r="D21" s="2" t="s">
        <v>1027</v>
      </c>
      <c r="E21" s="2" t="s">
        <v>1025</v>
      </c>
      <c r="F21" s="2" t="s">
        <v>1217</v>
      </c>
      <c r="G21" s="0" t="n">
        <v>20</v>
      </c>
      <c r="H21" s="0" t="n">
        <v>10</v>
      </c>
      <c r="I21" s="3" t="s">
        <v>1218</v>
      </c>
      <c r="J21" s="2" t="s">
        <v>1219</v>
      </c>
      <c r="K21" s="3" t="s">
        <v>1220</v>
      </c>
      <c r="L21" s="0" t="n">
        <v>2200</v>
      </c>
      <c r="M21" s="2" t="s">
        <v>1221</v>
      </c>
      <c r="N21" s="3" t="s">
        <v>1222</v>
      </c>
    </row>
    <row r="22" customFormat="false" ht="15" hidden="false" customHeight="false" outlineLevel="0" collapsed="false">
      <c r="A22" s="0" t="s">
        <v>1223</v>
      </c>
      <c r="B22" s="0" t="s">
        <v>1224</v>
      </c>
      <c r="C22" s="2" t="s">
        <v>1015</v>
      </c>
      <c r="D22" s="2" t="s">
        <v>1027</v>
      </c>
      <c r="E22" s="2" t="s">
        <v>1025</v>
      </c>
      <c r="F22" s="2" t="s">
        <v>1214</v>
      </c>
      <c r="G22" s="0" t="n">
        <v>20</v>
      </c>
      <c r="H22" s="0" t="n">
        <v>25</v>
      </c>
      <c r="I22" s="3" t="s">
        <v>1225</v>
      </c>
      <c r="J22" s="2" t="s">
        <v>1226</v>
      </c>
      <c r="K22" s="3" t="s">
        <v>1227</v>
      </c>
      <c r="L22" s="0" t="n">
        <v>1000</v>
      </c>
      <c r="P22" s="3" t="s">
        <v>35</v>
      </c>
    </row>
    <row r="23" customFormat="false" ht="15" hidden="false" customHeight="false" outlineLevel="0" collapsed="false">
      <c r="A23" s="0" t="s">
        <v>1228</v>
      </c>
      <c r="B23" s="0" t="s">
        <v>1224</v>
      </c>
      <c r="C23" s="2" t="s">
        <v>1015</v>
      </c>
      <c r="D23" s="2" t="s">
        <v>1027</v>
      </c>
      <c r="E23" s="2" t="s">
        <v>1025</v>
      </c>
      <c r="F23" s="2" t="s">
        <v>1214</v>
      </c>
      <c r="G23" s="0" t="n">
        <v>20</v>
      </c>
      <c r="H23" s="0" t="n">
        <v>35</v>
      </c>
      <c r="I23" s="3" t="s">
        <v>1225</v>
      </c>
      <c r="J23" s="2" t="s">
        <v>1229</v>
      </c>
      <c r="K23" s="3" t="s">
        <v>1230</v>
      </c>
      <c r="L23" s="0" t="n">
        <v>1000</v>
      </c>
      <c r="P23" s="3" t="s">
        <v>35</v>
      </c>
    </row>
    <row r="24" customFormat="false" ht="15" hidden="false" customHeight="false" outlineLevel="0" collapsed="false">
      <c r="A24" s="0" t="s">
        <v>1231</v>
      </c>
      <c r="B24" s="0" t="s">
        <v>1232</v>
      </c>
      <c r="C24" s="2" t="s">
        <v>1015</v>
      </c>
      <c r="D24" s="2" t="s">
        <v>1027</v>
      </c>
      <c r="E24" s="2" t="s">
        <v>1025</v>
      </c>
      <c r="F24" s="3" t="s">
        <v>1233</v>
      </c>
      <c r="G24" s="0" t="n">
        <v>20</v>
      </c>
      <c r="H24" s="0" t="n">
        <v>400</v>
      </c>
      <c r="I24" s="3" t="s">
        <v>1218</v>
      </c>
      <c r="J24" s="2" t="s">
        <v>1234</v>
      </c>
      <c r="K24" s="3" t="s">
        <v>1235</v>
      </c>
      <c r="L24" s="0" t="n">
        <v>3.3</v>
      </c>
      <c r="M24" s="2" t="s">
        <v>1236</v>
      </c>
      <c r="N24" s="3" t="s">
        <v>1237</v>
      </c>
      <c r="P24" s="3" t="s">
        <v>35</v>
      </c>
    </row>
    <row r="25" customFormat="false" ht="15" hidden="false" customHeight="false" outlineLevel="0" collapsed="false">
      <c r="A25" s="0" t="s">
        <v>1238</v>
      </c>
      <c r="B25" s="0" t="s">
        <v>1239</v>
      </c>
      <c r="C25" s="2" t="s">
        <v>1015</v>
      </c>
      <c r="D25" s="2" t="s">
        <v>1027</v>
      </c>
      <c r="E25" s="2" t="s">
        <v>1025</v>
      </c>
      <c r="F25" s="3" t="s">
        <v>1240</v>
      </c>
      <c r="G25" s="0" t="n">
        <v>20</v>
      </c>
      <c r="H25" s="0" t="n">
        <v>400</v>
      </c>
      <c r="I25" s="3" t="s">
        <v>1218</v>
      </c>
      <c r="J25" s="2" t="s">
        <v>1241</v>
      </c>
      <c r="K25" s="3" t="s">
        <v>1242</v>
      </c>
      <c r="L25" s="0" t="n">
        <v>2700</v>
      </c>
      <c r="P25" s="3" t="s">
        <v>35</v>
      </c>
    </row>
    <row r="26" customFormat="false" ht="15" hidden="false" customHeight="false" outlineLevel="0" collapsed="false">
      <c r="A26" s="0" t="s">
        <v>1243</v>
      </c>
      <c r="B26" s="0" t="s">
        <v>1224</v>
      </c>
      <c r="C26" s="0" t="s">
        <v>1015</v>
      </c>
      <c r="D26" s="0" t="s">
        <v>1027</v>
      </c>
      <c r="E26" s="0" t="s">
        <v>1025</v>
      </c>
      <c r="F26" s="0" t="s">
        <v>1208</v>
      </c>
      <c r="G26" s="0" t="n">
        <v>20</v>
      </c>
      <c r="H26" s="0" t="n">
        <v>35</v>
      </c>
      <c r="I26" s="0" t="s">
        <v>1225</v>
      </c>
      <c r="J26" s="0" t="s">
        <v>1244</v>
      </c>
      <c r="K26" s="0" t="s">
        <v>1245</v>
      </c>
      <c r="L26" s="0" t="n">
        <v>330</v>
      </c>
    </row>
    <row r="27" customFormat="false" ht="15" hidden="false" customHeight="false" outlineLevel="0" collapsed="false">
      <c r="A27" s="0" t="s">
        <v>1246</v>
      </c>
      <c r="B27" s="0" t="s">
        <v>1247</v>
      </c>
      <c r="C27" s="0" t="s">
        <v>1015</v>
      </c>
      <c r="D27" s="0" t="s">
        <v>1027</v>
      </c>
      <c r="E27" s="0" t="s">
        <v>1025</v>
      </c>
      <c r="F27" s="0" t="s">
        <v>1163</v>
      </c>
      <c r="G27" s="0" t="n">
        <v>20</v>
      </c>
      <c r="H27" s="0" t="n">
        <v>35</v>
      </c>
      <c r="I27" s="0" t="s">
        <v>1225</v>
      </c>
      <c r="J27" s="0" t="s">
        <v>1248</v>
      </c>
      <c r="K27" s="0" t="s">
        <v>1249</v>
      </c>
      <c r="L27" s="0" t="n">
        <v>100</v>
      </c>
    </row>
    <row r="28" customFormat="false" ht="15" hidden="false" customHeight="false" outlineLevel="0" collapsed="false">
      <c r="A28" s="0" t="s">
        <v>1250</v>
      </c>
      <c r="B28" s="0" t="s">
        <v>1251</v>
      </c>
      <c r="D28" s="0" t="s">
        <v>1027</v>
      </c>
      <c r="E28" s="0" t="s">
        <v>1025</v>
      </c>
      <c r="F28" s="0" t="s">
        <v>1210</v>
      </c>
      <c r="G28" s="0" t="n">
        <v>20</v>
      </c>
      <c r="H28" s="0" t="n">
        <v>16</v>
      </c>
      <c r="I28" s="0" t="s">
        <v>1225</v>
      </c>
      <c r="J28" s="0" t="s">
        <v>1244</v>
      </c>
      <c r="K28" s="0" t="s">
        <v>1245</v>
      </c>
      <c r="L28" s="0" t="n">
        <v>470</v>
      </c>
      <c r="O28" s="0" t="s">
        <v>1252</v>
      </c>
      <c r="P28" s="0" t="s">
        <v>35</v>
      </c>
    </row>
    <row r="29" customFormat="false" ht="16.4" hidden="false" customHeight="false" outlineLevel="0" collapsed="false">
      <c r="A29" s="0" t="s">
        <v>1253</v>
      </c>
      <c r="B29" s="0" t="s">
        <v>1254</v>
      </c>
      <c r="C29" s="0" t="s">
        <v>1015</v>
      </c>
      <c r="D29" s="0" t="s">
        <v>1027</v>
      </c>
      <c r="E29" s="0" t="s">
        <v>1025</v>
      </c>
      <c r="F29" s="0" t="s">
        <v>1255</v>
      </c>
      <c r="G29" s="0" t="n">
        <v>20</v>
      </c>
      <c r="H29" s="0" t="n">
        <v>35</v>
      </c>
      <c r="I29" s="0" t="s">
        <v>1225</v>
      </c>
      <c r="J29" s="0" t="s">
        <v>1256</v>
      </c>
      <c r="K29" s="0" t="s">
        <v>1257</v>
      </c>
      <c r="L29" s="0" t="n">
        <v>120</v>
      </c>
      <c r="O29" s="11" t="s">
        <v>1258</v>
      </c>
      <c r="P29" s="3" t="s">
        <v>146</v>
      </c>
    </row>
    <row r="30" customFormat="false" ht="16.4" hidden="false" customHeight="false" outlineLevel="0" collapsed="false">
      <c r="A30" s="0" t="s">
        <v>1259</v>
      </c>
      <c r="B30" s="0" t="s">
        <v>1260</v>
      </c>
      <c r="C30" s="0" t="s">
        <v>1015</v>
      </c>
      <c r="D30" s="0" t="s">
        <v>1027</v>
      </c>
      <c r="E30" s="0" t="s">
        <v>1025</v>
      </c>
      <c r="F30" s="0" t="s">
        <v>1201</v>
      </c>
      <c r="G30" s="0" t="n">
        <v>20</v>
      </c>
      <c r="H30" s="0" t="n">
        <v>50</v>
      </c>
      <c r="I30" s="0" t="s">
        <v>1225</v>
      </c>
      <c r="J30" s="0" t="s">
        <v>1256</v>
      </c>
      <c r="K30" s="0" t="s">
        <v>1257</v>
      </c>
      <c r="L30" s="0" t="n">
        <v>68</v>
      </c>
      <c r="O30" s="11" t="s">
        <v>1261</v>
      </c>
      <c r="P30" s="3" t="s">
        <v>146</v>
      </c>
    </row>
  </sheetData>
  <hyperlinks>
    <hyperlink ref="O29" r:id="rId1" display="https://cdn.promelec.ru/upload/datasheet/6/a/AAB8000C177.pdf"/>
    <hyperlink ref="O30" r:id="rId2" display="http://cdn.promelec.ru/upload/items/2022/11/10/SVPF-Series_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D11" colorId="64" zoomScale="85" zoomScaleNormal="85" zoomScalePageLayoutView="100" workbookViewId="0">
      <selection pane="topLeft" activeCell="P31" activeCellId="0" sqref="P3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.71"/>
    <col collapsed="false" customWidth="true" hidden="false" outlineLevel="0" max="2" min="2" style="0" width="77.71"/>
    <col collapsed="false" customWidth="true" hidden="false" outlineLevel="0" max="3" min="3" style="0" width="12"/>
    <col collapsed="false" customWidth="true" hidden="false" outlineLevel="0" max="4" min="4" style="0" width="27.28"/>
    <col collapsed="false" customWidth="true" hidden="false" outlineLevel="0" max="5" min="5" style="0" width="12.72"/>
    <col collapsed="false" customWidth="true" hidden="false" outlineLevel="0" max="6" min="6" style="0" width="36.29"/>
    <col collapsed="false" customWidth="true" hidden="false" outlineLevel="0" max="7" min="7" style="0" width="16.72"/>
    <col collapsed="false" customWidth="true" hidden="false" outlineLevel="0" max="8" min="8" style="0" width="18.29"/>
    <col collapsed="false" customWidth="true" hidden="false" outlineLevel="0" max="9" min="9" style="0" width="16.72"/>
    <col collapsed="false" customWidth="true" hidden="false" outlineLevel="0" max="10" min="10" style="0" width="18.29"/>
    <col collapsed="false" customWidth="true" hidden="false" outlineLevel="0" max="11" min="11" style="0" width="16.72"/>
    <col collapsed="false" customWidth="true" hidden="false" outlineLevel="0" max="12" min="12" style="0" width="18.29"/>
    <col collapsed="false" customWidth="true" hidden="false" outlineLevel="0" max="13" min="13" style="0" width="16.72"/>
    <col collapsed="false" customWidth="true" hidden="false" outlineLevel="0" max="14" min="14" style="16" width="18"/>
    <col collapsed="false" customWidth="true" hidden="false" outlineLevel="0" max="15" min="15" style="0" width="13.57"/>
    <col collapsed="false" customWidth="true" hidden="false" outlineLevel="0" max="17" min="17" style="0" width="12.29"/>
  </cols>
  <sheetData>
    <row r="1" customFormat="false" ht="17.9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1007</v>
      </c>
      <c r="M1" s="1" t="s">
        <v>1008</v>
      </c>
      <c r="N1" s="52" t="s">
        <v>1262</v>
      </c>
      <c r="O1" s="1" t="s">
        <v>234</v>
      </c>
      <c r="P1" s="1" t="s">
        <v>264</v>
      </c>
      <c r="Q1" s="1" t="s">
        <v>11</v>
      </c>
      <c r="R1" s="53" t="s">
        <v>12</v>
      </c>
    </row>
    <row r="2" customFormat="false" ht="15" hidden="false" customHeight="false" outlineLevel="0" collapsed="false">
      <c r="A2" s="2" t="s">
        <v>1263</v>
      </c>
      <c r="B2" s="2" t="s">
        <v>1264</v>
      </c>
      <c r="C2" s="2" t="str">
        <f aca="false">A2</f>
        <v>Inductance</v>
      </c>
      <c r="D2" s="2" t="s">
        <v>1265</v>
      </c>
      <c r="E2" s="2" t="s">
        <v>1263</v>
      </c>
      <c r="F2" s="2" t="str">
        <f aca="false">CONCATENATE("Footprints\Inductance\",G2,".PcbLib")</f>
        <v>Footprints\Inductance\0603L.PcbLib</v>
      </c>
      <c r="G2" s="2" t="s">
        <v>1266</v>
      </c>
      <c r="H2" s="2" t="str">
        <f aca="false">CONCATENATE("Footprints\Inductance\",I2,".PcbLib")</f>
        <v>Footprints\Inductance\1210L.PcbLib</v>
      </c>
      <c r="I2" s="2" t="s">
        <v>1267</v>
      </c>
      <c r="J2" s="2" t="str">
        <f aca="false">CONCATENATE("Footprints\Inductance\",K2,".PcbLib")</f>
        <v>Footprints\Inductance\1212L.PcbLib</v>
      </c>
      <c r="K2" s="2" t="s">
        <v>1268</v>
      </c>
      <c r="L2" s="2" t="str">
        <f aca="false">CONCATENATE("Footprints\Inductance\",M2,".PcbLib")</f>
        <v>Footprints\Inductance\12.8x12.8.PcbLib</v>
      </c>
      <c r="M2" s="2" t="s">
        <v>1269</v>
      </c>
      <c r="O2" s="2"/>
      <c r="P2" s="2"/>
    </row>
    <row r="3" customFormat="false" ht="15" hidden="false" customHeight="false" outlineLevel="0" collapsed="false">
      <c r="A3" s="2" t="s">
        <v>1270</v>
      </c>
      <c r="B3" s="2" t="s">
        <v>1271</v>
      </c>
      <c r="C3" s="2" t="str">
        <f aca="false">A3</f>
        <v>IHLP4040DZER330M11</v>
      </c>
      <c r="D3" s="2" t="s">
        <v>1265</v>
      </c>
      <c r="E3" s="2" t="s">
        <v>1263</v>
      </c>
      <c r="F3" s="2" t="str">
        <f aca="false">CONCATENATE("Footprints\Inductance\",G3,".PcbLib")</f>
        <v>Footprints\Inductance\IHLP-4040.PcbLib</v>
      </c>
      <c r="G3" s="2" t="s">
        <v>1272</v>
      </c>
      <c r="H3" s="2"/>
      <c r="I3" s="2"/>
      <c r="J3" s="2"/>
      <c r="K3" s="2"/>
      <c r="L3" s="2"/>
      <c r="M3" s="2"/>
      <c r="N3" s="16" t="n">
        <v>33</v>
      </c>
      <c r="O3" s="2" t="s">
        <v>1273</v>
      </c>
      <c r="P3" s="2" t="str">
        <f aca="false">CONCATENATE(N3, " мк")</f>
        <v>33 мк</v>
      </c>
    </row>
    <row r="4" customFormat="false" ht="15" hidden="false" customHeight="false" outlineLevel="0" collapsed="false">
      <c r="A4" s="2" t="s">
        <v>1274</v>
      </c>
      <c r="B4" s="2" t="str">
        <f aca="false">CONCATENATE("Индуктивность на ", P4, "Гн, номинальный ток ", O4, " A")</f>
        <v>Индуктивность на 68 мкГн, номинальный ток 0,82 А A</v>
      </c>
      <c r="C4" s="2" t="str">
        <f aca="false">A4</f>
        <v>B82472G6683M</v>
      </c>
      <c r="D4" s="2" t="s">
        <v>1265</v>
      </c>
      <c r="E4" s="2" t="s">
        <v>1263</v>
      </c>
      <c r="F4" s="2" t="str">
        <f aca="false">CONCATENATE("Footprints\Inductance\",G4,".PcbLib")</f>
        <v>Footprints\Inductance\7.3x7.3.PcbLib</v>
      </c>
      <c r="G4" s="2" t="s">
        <v>1275</v>
      </c>
      <c r="H4" s="2"/>
      <c r="I4" s="2"/>
      <c r="J4" s="2"/>
      <c r="K4" s="2"/>
      <c r="L4" s="2"/>
      <c r="M4" s="2"/>
      <c r="N4" s="16" t="n">
        <v>68</v>
      </c>
      <c r="O4" s="2" t="s">
        <v>1276</v>
      </c>
      <c r="P4" s="2" t="str">
        <f aca="false">CONCATENATE(N4, " мк")</f>
        <v>68 мк</v>
      </c>
    </row>
    <row r="5" customFormat="false" ht="15" hidden="false" customHeight="false" outlineLevel="0" collapsed="false">
      <c r="A5" s="0" t="s">
        <v>1277</v>
      </c>
      <c r="B5" s="0" t="s">
        <v>1278</v>
      </c>
      <c r="C5" s="0" t="str">
        <f aca="false">A5</f>
        <v>IHLP2525CZER4R7M01</v>
      </c>
      <c r="D5" s="2" t="s">
        <v>1265</v>
      </c>
      <c r="E5" s="2" t="s">
        <v>1263</v>
      </c>
      <c r="F5" s="2" t="str">
        <f aca="false">CONCATENATE("Footprints\Inductance\",G5,".PcbLib")</f>
        <v>Footprints\Inductance\IHLP-2525.PcbLib</v>
      </c>
      <c r="G5" s="2" t="s">
        <v>1279</v>
      </c>
      <c r="H5" s="2" t="str">
        <f aca="false">CONCATENATE("Footprints\Inductance\",I5,".PcbLib")</f>
        <v>Footprints\Inductance\.PcbLib</v>
      </c>
      <c r="I5" s="2"/>
      <c r="J5" s="2" t="str">
        <f aca="false">CONCATENATE("Footprints\Inductance\",K5,".PcbLib")</f>
        <v>Footprints\Inductance\.PcbLib</v>
      </c>
      <c r="K5" s="2"/>
      <c r="L5" s="2" t="str">
        <f aca="false">CONCATENATE("Footprints\Inductance\",M5,".PcbLib")</f>
        <v>Footprints\Inductance\.PcbLib</v>
      </c>
      <c r="M5" s="2"/>
      <c r="N5" s="16" t="n">
        <v>4.7</v>
      </c>
      <c r="O5" s="2" t="s">
        <v>1280</v>
      </c>
      <c r="P5" s="3" t="str">
        <f aca="false">CONCATENATE(N5, " мк")</f>
        <v>4,7 мк</v>
      </c>
    </row>
    <row r="6" customFormat="false" ht="15" hidden="false" customHeight="false" outlineLevel="0" collapsed="false">
      <c r="A6" s="0" t="s">
        <v>1281</v>
      </c>
      <c r="B6" s="0" t="s">
        <v>1282</v>
      </c>
      <c r="C6" s="0" t="str">
        <f aca="false">A6</f>
        <v>IHLP4040DZER220M11</v>
      </c>
      <c r="D6" s="2" t="s">
        <v>1265</v>
      </c>
      <c r="E6" s="2" t="s">
        <v>1263</v>
      </c>
      <c r="F6" s="2" t="str">
        <f aca="false">CONCATENATE("Footprints\Inductance\",G6,".PcbLib")</f>
        <v>Footprints\Inductance\IHLP-4040.PcbLib</v>
      </c>
      <c r="G6" s="2" t="s">
        <v>1272</v>
      </c>
      <c r="H6" s="2" t="str">
        <f aca="false">CONCATENATE("Footprints\Inductance\",I6,".PcbLib")</f>
        <v>Footprints\Inductance\.PcbLib</v>
      </c>
      <c r="I6" s="2"/>
      <c r="J6" s="2" t="str">
        <f aca="false">CONCATENATE("Footprints\Inductance\",K6,".PcbLib")</f>
        <v>Footprints\Inductance\.PcbLib</v>
      </c>
      <c r="K6" s="2"/>
      <c r="L6" s="2" t="str">
        <f aca="false">CONCATENATE("Footprints\Inductance\",M6,".PcbLib")</f>
        <v>Footprints\Inductance\.PcbLib</v>
      </c>
      <c r="M6" s="2"/>
      <c r="N6" s="16" t="n">
        <v>22</v>
      </c>
      <c r="O6" s="2" t="s">
        <v>258</v>
      </c>
      <c r="P6" s="3" t="str">
        <f aca="false">CONCATENATE(N6, " мк")</f>
        <v>22 мк</v>
      </c>
    </row>
    <row r="7" customFormat="false" ht="15" hidden="false" customHeight="false" outlineLevel="0" collapsed="false">
      <c r="A7" s="0" t="s">
        <v>1283</v>
      </c>
      <c r="B7" s="0" t="s">
        <v>1284</v>
      </c>
      <c r="C7" s="0" t="str">
        <f aca="false">A7</f>
        <v>B82462G4223M</v>
      </c>
      <c r="D7" s="2" t="s">
        <v>1265</v>
      </c>
      <c r="E7" s="2" t="s">
        <v>1263</v>
      </c>
      <c r="F7" s="2" t="str">
        <f aca="false">CONCATENATE("Footprints\Inductance\",G7,".PcbLib")</f>
        <v>Footprints\Inductance\B82462G4.PcbLib</v>
      </c>
      <c r="G7" s="2" t="s">
        <v>1285</v>
      </c>
      <c r="H7" s="2" t="str">
        <f aca="false">CONCATENATE("Footprints\Inductance\",I7,".PcbLib")</f>
        <v>Footprints\Inductance\.PcbLib</v>
      </c>
      <c r="I7" s="2"/>
      <c r="J7" s="2" t="str">
        <f aca="false">CONCATENATE("Footprints\Inductance\",K7,".PcbLib")</f>
        <v>Footprints\Inductance\.PcbLib</v>
      </c>
      <c r="K7" s="2"/>
      <c r="L7" s="2" t="str">
        <f aca="false">CONCATENATE("Footprints\Inductance\",M7,".PcbLib")</f>
        <v>Footprints\Inductance\.PcbLib</v>
      </c>
      <c r="M7" s="2"/>
      <c r="N7" s="16" t="n">
        <v>22</v>
      </c>
      <c r="O7" s="2" t="s">
        <v>1286</v>
      </c>
      <c r="P7" s="3" t="str">
        <f aca="false">CONCATENATE(N7, " мк")</f>
        <v>22 мк</v>
      </c>
    </row>
    <row r="8" customFormat="false" ht="15" hidden="false" customHeight="false" outlineLevel="0" collapsed="false">
      <c r="A8" s="0" t="s">
        <v>1287</v>
      </c>
      <c r="B8" s="0" t="s">
        <v>1288</v>
      </c>
      <c r="C8" s="0" t="str">
        <f aca="false">A8</f>
        <v>CSAB0530-R33M</v>
      </c>
      <c r="D8" s="2" t="s">
        <v>1265</v>
      </c>
      <c r="E8" s="2" t="s">
        <v>1263</v>
      </c>
      <c r="F8" s="2" t="str">
        <f aca="false">CONCATENATE("Footprints\Inductance\",G8,".PcbLib")</f>
        <v>Footprints\Inductance\CSAB0530.PcbLib</v>
      </c>
      <c r="G8" s="2" t="s">
        <v>1289</v>
      </c>
      <c r="H8" s="2" t="str">
        <f aca="false">CONCATENATE("Footprints\Inductance\",I8,".PcbLib")</f>
        <v>Footprints\Inductance\.PcbLib</v>
      </c>
      <c r="I8" s="2"/>
      <c r="J8" s="2" t="str">
        <f aca="false">CONCATENATE("Footprints\Inductance\",K8,".PcbLib")</f>
        <v>Footprints\Inductance\.PcbLib</v>
      </c>
      <c r="K8" s="2"/>
      <c r="L8" s="2" t="str">
        <f aca="false">CONCATENATE("Footprints\Inductance\",M8,".PcbLib")</f>
        <v>Footprints\Inductance\.PcbLib</v>
      </c>
      <c r="M8" s="2"/>
      <c r="N8" s="16" t="n">
        <v>0.33</v>
      </c>
      <c r="O8" s="2" t="s">
        <v>1290</v>
      </c>
      <c r="P8" s="3" t="str">
        <f aca="false">CONCATENATE(N8, " мк")</f>
        <v>0,33 мк</v>
      </c>
    </row>
    <row r="9" customFormat="false" ht="15" hidden="false" customHeight="false" outlineLevel="0" collapsed="false">
      <c r="A9" s="0" t="s">
        <v>1291</v>
      </c>
      <c r="B9" s="2" t="str">
        <f aca="false">CONCATENATE("Индуктивность на ", P9, "Гн, номинальный ток ", O9, " A")</f>
        <v>Индуктивность на 68 мкГн, номинальный ток 2,65 А A</v>
      </c>
      <c r="C9" s="3" t="str">
        <f aca="false">A9</f>
        <v>B82477R4683M100</v>
      </c>
      <c r="D9" s="2" t="s">
        <v>1265</v>
      </c>
      <c r="E9" s="2" t="s">
        <v>1263</v>
      </c>
      <c r="F9" s="2" t="str">
        <f aca="false">CONCATENATE("Footprints\Inductance\",G9,".PcbLib")</f>
        <v>Footprints\Inductance\12.5x12.5.PcbLib</v>
      </c>
      <c r="G9" s="2" t="s">
        <v>1292</v>
      </c>
      <c r="H9" s="2" t="str">
        <f aca="false">CONCATENATE("Footprints\Inductance\",I9,".PcbLib")</f>
        <v>Footprints\Inductance\.PcbLib</v>
      </c>
      <c r="I9" s="2"/>
      <c r="J9" s="2" t="str">
        <f aca="false">CONCATENATE("Footprints\Inductance\",K9,".PcbLib")</f>
        <v>Footprints\Inductance\.PcbLib</v>
      </c>
      <c r="K9" s="2"/>
      <c r="L9" s="2" t="str">
        <f aca="false">CONCATENATE("Footprints\Inductance\",M9,".PcbLib")</f>
        <v>Footprints\Inductance\.PcbLib</v>
      </c>
      <c r="M9" s="2"/>
      <c r="N9" s="16" t="n">
        <v>68</v>
      </c>
      <c r="O9" s="2" t="s">
        <v>1293</v>
      </c>
      <c r="P9" s="2" t="str">
        <f aca="false">CONCATENATE(N9, " мк")</f>
        <v>68 мк</v>
      </c>
    </row>
    <row r="10" customFormat="false" ht="15" hidden="false" customHeight="false" outlineLevel="0" collapsed="false">
      <c r="A10" s="0" t="s">
        <v>1294</v>
      </c>
      <c r="B10" s="2" t="str">
        <f aca="false">CONCATENATE("Индуктивность на ", P10, "Гн, номинальный ток ", O10, " A")</f>
        <v>Индуктивность на 12 мкГн, номинальный ток 1,05 А A</v>
      </c>
      <c r="C10" s="3" t="str">
        <f aca="false">A10</f>
        <v>SDR0403-120ML</v>
      </c>
      <c r="D10" s="2" t="s">
        <v>1265</v>
      </c>
      <c r="E10" s="2" t="s">
        <v>1263</v>
      </c>
      <c r="F10" s="2" t="str">
        <f aca="false">CONCATENATE("Footprints\Inductance\",G10,".PcbLib")</f>
        <v>Footprints\Inductance\4.5x4_wired.PcbLib</v>
      </c>
      <c r="G10" s="2" t="s">
        <v>1295</v>
      </c>
      <c r="H10" s="2" t="str">
        <f aca="false">CONCATENATE("Footprints\Inductance\",I10,".PcbLib")</f>
        <v>Footprints\Inductance\.PcbLib</v>
      </c>
      <c r="I10" s="2"/>
      <c r="J10" s="2" t="str">
        <f aca="false">CONCATENATE("Footprints\Inductance\",K10,".PcbLib")</f>
        <v>Footprints\Inductance\.PcbLib</v>
      </c>
      <c r="K10" s="2"/>
      <c r="L10" s="2" t="str">
        <f aca="false">CONCATENATE("Footprints\Inductance\",M10,".PcbLib")</f>
        <v>Footprints\Inductance\.PcbLib</v>
      </c>
      <c r="M10" s="2"/>
      <c r="N10" s="16" t="n">
        <v>12</v>
      </c>
      <c r="O10" s="3" t="s">
        <v>1286</v>
      </c>
      <c r="P10" s="2" t="str">
        <f aca="false">CONCATENATE(N10, " мк")</f>
        <v>12 мк</v>
      </c>
    </row>
    <row r="11" customFormat="false" ht="15" hidden="false" customHeight="false" outlineLevel="0" collapsed="false">
      <c r="A11" s="0" t="s">
        <v>1296</v>
      </c>
      <c r="B11" s="0" t="s">
        <v>1297</v>
      </c>
      <c r="C11" s="0" t="s">
        <v>1298</v>
      </c>
      <c r="D11" s="2" t="s">
        <v>1299</v>
      </c>
      <c r="E11" s="2" t="s">
        <v>1296</v>
      </c>
      <c r="F11" s="2" t="str">
        <f aca="false">CONCATENATE("Footprints\Inductance\",G11,".PcbLib")</f>
        <v>Footprints\Inductance\M20VN.PcbLib</v>
      </c>
      <c r="G11" s="2" t="s">
        <v>1296</v>
      </c>
      <c r="H11" s="2" t="str">
        <f aca="false">CONCATENATE("Footprints\Inductance\",I11,".PcbLib")</f>
        <v>Footprints\Inductance\.PcbLib</v>
      </c>
      <c r="I11" s="2"/>
      <c r="J11" s="2" t="str">
        <f aca="false">CONCATENATE("Footprints\Inductance\",K11,".PcbLib")</f>
        <v>Footprints\Inductance\.PcbLib</v>
      </c>
      <c r="K11" s="2"/>
      <c r="L11" s="2" t="str">
        <f aca="false">CONCATENATE("Footprints\Inductance\",M11,".PcbLib")</f>
        <v>Footprints\Inductance\.PcbLib</v>
      </c>
      <c r="M11" s="2"/>
      <c r="N11" s="16" t="n">
        <v>1.2</v>
      </c>
      <c r="O11" s="3" t="s">
        <v>1290</v>
      </c>
      <c r="P11" s="3" t="s">
        <v>1300</v>
      </c>
      <c r="R11" s="3" t="s">
        <v>35</v>
      </c>
    </row>
    <row r="12" customFormat="false" ht="15" hidden="false" customHeight="false" outlineLevel="0" collapsed="false">
      <c r="A12" s="0" t="s">
        <v>1301</v>
      </c>
      <c r="B12" s="0" t="s">
        <v>1302</v>
      </c>
      <c r="C12" s="0" t="str">
        <f aca="false">A12</f>
        <v>IHLP4040DZER470M11</v>
      </c>
      <c r="D12" s="2" t="s">
        <v>1265</v>
      </c>
      <c r="E12" s="2" t="s">
        <v>1263</v>
      </c>
      <c r="F12" s="2" t="str">
        <f aca="false">CONCATENATE("Footprints\Inductance\",G12,".PcbLib")</f>
        <v>Footprints\Inductance\IHLP-4040.PcbLib</v>
      </c>
      <c r="G12" s="2" t="s">
        <v>1272</v>
      </c>
      <c r="H12" s="2" t="str">
        <f aca="false">CONCATENATE("Footprints\Inductance\",I12,".PcbLib")</f>
        <v>Footprints\Inductance\.PcbLib</v>
      </c>
      <c r="I12" s="2"/>
      <c r="J12" s="2" t="str">
        <f aca="false">CONCATENATE("Footprints\Inductance\",K12,".PcbLib")</f>
        <v>Footprints\Inductance\.PcbLib</v>
      </c>
      <c r="K12" s="2"/>
      <c r="L12" s="2" t="str">
        <f aca="false">CONCATENATE("Footprints\Inductance\",M12,".PcbLib")</f>
        <v>Footprints\Inductance\.PcbLib</v>
      </c>
      <c r="M12" s="2"/>
      <c r="N12" s="16" t="n">
        <v>47</v>
      </c>
      <c r="O12" s="3" t="s">
        <v>1303</v>
      </c>
      <c r="P12" s="2" t="str">
        <f aca="false">CONCATENATE(N12, " мк")</f>
        <v>47 мк</v>
      </c>
    </row>
    <row r="13" customFormat="false" ht="15" hidden="false" customHeight="false" outlineLevel="0" collapsed="false">
      <c r="A13" s="0" t="s">
        <v>1304</v>
      </c>
      <c r="B13" s="0" t="s">
        <v>1305</v>
      </c>
      <c r="C13" s="0" t="str">
        <f aca="false">A13</f>
        <v>IHLP4040DZER101M11</v>
      </c>
      <c r="D13" s="2" t="s">
        <v>1265</v>
      </c>
      <c r="E13" s="2" t="s">
        <v>1263</v>
      </c>
      <c r="F13" s="2" t="str">
        <f aca="false">CONCATENATE("Footprints\Inductance\",G13,".PcbLib")</f>
        <v>Footprints\Inductance\IHLP-4040.PcbLib</v>
      </c>
      <c r="G13" s="2" t="s">
        <v>1272</v>
      </c>
      <c r="H13" s="2" t="str">
        <f aca="false">CONCATENATE("Footprints\Inductance\",I13,".PcbLib")</f>
        <v>Footprints\Inductance\.PcbLib</v>
      </c>
      <c r="I13" s="2"/>
      <c r="J13" s="2" t="str">
        <f aca="false">CONCATENATE("Footprints\Inductance\",K13,".PcbLib")</f>
        <v>Footprints\Inductance\.PcbLib</v>
      </c>
      <c r="K13" s="2"/>
      <c r="L13" s="2" t="str">
        <f aca="false">CONCATENATE("Footprints\Inductance\",M13,".PcbLib")</f>
        <v>Footprints\Inductance\.PcbLib</v>
      </c>
      <c r="M13" s="2"/>
      <c r="N13" s="16" t="n">
        <v>100</v>
      </c>
      <c r="O13" s="3" t="s">
        <v>1303</v>
      </c>
      <c r="P13" s="2" t="str">
        <f aca="false">CONCATENATE(N13, " мк")</f>
        <v>100 мк</v>
      </c>
    </row>
    <row r="14" customFormat="false" ht="15" hidden="false" customHeight="false" outlineLevel="0" collapsed="false">
      <c r="A14" s="0" t="s">
        <v>1306</v>
      </c>
      <c r="B14" s="0" t="s">
        <v>1307</v>
      </c>
      <c r="C14" s="0" t="str">
        <f aca="false">A14</f>
        <v>HV_trans</v>
      </c>
      <c r="D14" s="2" t="s">
        <v>1308</v>
      </c>
      <c r="E14" s="2" t="s">
        <v>1306</v>
      </c>
      <c r="F14" s="2" t="str">
        <f aca="false">CONCATENATE("Footprints\Inductance\",G14,".PcbLib")</f>
        <v>Footprints\Inductance\EE16_transformer.PcbLib</v>
      </c>
      <c r="G14" s="2" t="s">
        <v>1309</v>
      </c>
      <c r="H14" s="2" t="str">
        <f aca="false">CONCATENATE("Footprints\Inductance\",I14,".PcbLib")</f>
        <v>Footprints\Inductance\.PcbLib</v>
      </c>
      <c r="I14" s="2"/>
      <c r="J14" s="2" t="str">
        <f aca="false">CONCATENATE("Footprints\Inductance\",K14,".PcbLib")</f>
        <v>Footprints\Inductance\.PcbLib</v>
      </c>
      <c r="K14" s="2"/>
      <c r="L14" s="2" t="str">
        <f aca="false">CONCATENATE("Footprints\Inductance\",M14,".PcbLib")</f>
        <v>Footprints\Inductance\.PcbLib</v>
      </c>
      <c r="M14" s="2"/>
      <c r="O14" s="3" t="s">
        <v>1310</v>
      </c>
      <c r="P14" s="3" t="n">
        <f aca="false">N14</f>
        <v>0</v>
      </c>
      <c r="R14" s="3" t="s">
        <v>35</v>
      </c>
    </row>
    <row r="15" customFormat="false" ht="15" hidden="false" customHeight="false" outlineLevel="0" collapsed="false">
      <c r="A15" s="0" t="s">
        <v>1311</v>
      </c>
      <c r="B15" s="0" t="s">
        <v>1312</v>
      </c>
      <c r="C15" s="0" t="str">
        <f aca="false">A15</f>
        <v>CDSPRH127-150M</v>
      </c>
      <c r="D15" s="2" t="s">
        <v>1265</v>
      </c>
      <c r="E15" s="2" t="s">
        <v>1263</v>
      </c>
      <c r="F15" s="2" t="str">
        <f aca="false">CONCATENATE("Footprints\Inductance\",G15,".PcbLib")</f>
        <v>Footprints\Inductance\SPRH127.PcbLib</v>
      </c>
      <c r="G15" s="3" t="s">
        <v>1313</v>
      </c>
      <c r="H15" s="2" t="str">
        <f aca="false">CONCATENATE("Footprints\Inductance\",I15,".PcbLib")</f>
        <v>Footprints\Inductance\.PcbLib</v>
      </c>
      <c r="I15" s="2"/>
      <c r="J15" s="2" t="str">
        <f aca="false">CONCATENATE("Footprints\Inductance\",K15,".PcbLib")</f>
        <v>Footprints\Inductance\.PcbLib</v>
      </c>
      <c r="K15" s="2"/>
      <c r="L15" s="2" t="str">
        <f aca="false">CONCATENATE("Footprints\Inductance\",M15,".PcbLib")</f>
        <v>Footprints\Inductance\.PcbLib</v>
      </c>
      <c r="M15" s="2"/>
      <c r="N15" s="16" t="n">
        <v>15</v>
      </c>
      <c r="O15" s="3" t="s">
        <v>1314</v>
      </c>
      <c r="P15" s="3" t="s">
        <v>1195</v>
      </c>
    </row>
    <row r="16" customFormat="false" ht="15" hidden="false" customHeight="false" outlineLevel="0" collapsed="false">
      <c r="A16" s="0" t="s">
        <v>1315</v>
      </c>
      <c r="B16" s="0" t="str">
        <f aca="false">CONCATENATE("Индуктивность на ", P16, "Гн, номинальный ток ", O16, " A")</f>
        <v>Индуктивность на 1 мкГн, номинальный ток 4,3 А A</v>
      </c>
      <c r="C16" s="0" t="str">
        <f aca="false">A16</f>
        <v>CDSP43-1R0M</v>
      </c>
      <c r="D16" s="2" t="s">
        <v>1265</v>
      </c>
      <c r="E16" s="2" t="s">
        <v>1263</v>
      </c>
      <c r="F16" s="2" t="str">
        <f aca="false">CONCATENATE("Footprints\Inductance\",G16,".PcbLib")</f>
        <v>Footprints\Inductance\4.5x4_wired.PcbLib</v>
      </c>
      <c r="G16" s="2" t="s">
        <v>1295</v>
      </c>
      <c r="H16" s="2" t="str">
        <f aca="false">CONCATENATE("Footprints\Inductance\",I16,".PcbLib")</f>
        <v>Footprints\Inductance\.PcbLib</v>
      </c>
      <c r="I16" s="2"/>
      <c r="J16" s="2" t="str">
        <f aca="false">CONCATENATE("Footprints\Inductance\",K16,".PcbLib")</f>
        <v>Footprints\Inductance\.PcbLib</v>
      </c>
      <c r="K16" s="2"/>
      <c r="L16" s="2" t="str">
        <f aca="false">CONCATENATE("Footprints\Inductance\",M16,".PcbLib")</f>
        <v>Footprints\Inductance\.PcbLib</v>
      </c>
      <c r="M16" s="2"/>
      <c r="N16" s="16" t="n">
        <v>1</v>
      </c>
      <c r="O16" s="3" t="s">
        <v>1316</v>
      </c>
      <c r="P16" s="3" t="s">
        <v>1131</v>
      </c>
    </row>
    <row r="17" customFormat="false" ht="15" hidden="false" customHeight="false" outlineLevel="0" collapsed="false">
      <c r="A17" s="0" t="s">
        <v>1317</v>
      </c>
      <c r="B17" s="0" t="str">
        <f aca="false">CONCATENATE("Индуктивность на ", P17, "Гн, номинальный ток ", O17, " A")</f>
        <v>Индуктивность на 330 мкГн, номинальный ток 1,79 А A</v>
      </c>
      <c r="C17" s="0" t="str">
        <f aca="false">A17</f>
        <v>CDSPRH127-331M</v>
      </c>
      <c r="D17" s="2" t="s">
        <v>1265</v>
      </c>
      <c r="E17" s="2" t="s">
        <v>1263</v>
      </c>
      <c r="F17" s="2" t="str">
        <f aca="false">CONCATENATE("Footprints\Inductance\",G17,".PcbLib")</f>
        <v>Footprints\Inductance\12.8x12.8.PcbLib</v>
      </c>
      <c r="G17" s="2" t="s">
        <v>1269</v>
      </c>
      <c r="H17" s="2" t="str">
        <f aca="false">CONCATENATE("Footprints\Inductance\",I17,".PcbLib")</f>
        <v>Footprints\Inductance\.PcbLib</v>
      </c>
      <c r="I17" s="2"/>
      <c r="J17" s="2" t="str">
        <f aca="false">CONCATENATE("Footprints\Inductance\",K17,".PcbLib")</f>
        <v>Footprints\Inductance\.PcbLib</v>
      </c>
      <c r="K17" s="2"/>
      <c r="L17" s="2" t="str">
        <f aca="false">CONCATENATE("Footprints\Inductance\",M17,".PcbLib")</f>
        <v>Footprints\Inductance\.PcbLib</v>
      </c>
      <c r="M17" s="2"/>
      <c r="N17" s="16" t="n">
        <v>330</v>
      </c>
      <c r="O17" s="3" t="s">
        <v>1318</v>
      </c>
      <c r="P17" s="3" t="s">
        <v>1208</v>
      </c>
    </row>
    <row r="18" customFormat="false" ht="15" hidden="false" customHeight="false" outlineLevel="0" collapsed="false">
      <c r="A18" s="0" t="s">
        <v>1319</v>
      </c>
      <c r="B18" s="0" t="s">
        <v>1320</v>
      </c>
      <c r="C18" s="0" t="str">
        <f aca="false">A18</f>
        <v>SP43-150K</v>
      </c>
      <c r="D18" s="2" t="s">
        <v>1265</v>
      </c>
      <c r="E18" s="2" t="s">
        <v>1263</v>
      </c>
      <c r="F18" s="2" t="str">
        <f aca="false">CONCATENATE("Footprints\Inductance\",G18,".PcbLib")</f>
        <v>Footprints\Inductance\SP43.PcbLib</v>
      </c>
      <c r="G18" s="2" t="s">
        <v>1321</v>
      </c>
      <c r="H18" s="2" t="str">
        <f aca="false">CONCATENATE("Footprints\Inductance\",I18,".PcbLib")</f>
        <v>Footprints\Inductance\.PcbLib</v>
      </c>
      <c r="I18" s="2"/>
      <c r="J18" s="2" t="str">
        <f aca="false">CONCATENATE("Footprints\Inductance\",K18,".PcbLib")</f>
        <v>Footprints\Inductance\.PcbLib</v>
      </c>
      <c r="K18" s="2"/>
      <c r="L18" s="2" t="str">
        <f aca="false">CONCATENATE("Footprints\Inductance\",M18,".PcbLib")</f>
        <v>Footprints\Inductance\.PcbLib</v>
      </c>
      <c r="M18" s="2"/>
      <c r="N18" s="16" t="n">
        <v>15</v>
      </c>
      <c r="O18" s="3" t="s">
        <v>1322</v>
      </c>
      <c r="P18" s="3" t="s">
        <v>1195</v>
      </c>
    </row>
    <row r="19" customFormat="false" ht="15" hidden="false" customHeight="false" outlineLevel="0" collapsed="false">
      <c r="A19" s="0" t="s">
        <v>1323</v>
      </c>
      <c r="B19" s="0" t="s">
        <v>1324</v>
      </c>
      <c r="C19" s="0" t="str">
        <f aca="false">A19</f>
        <v>B82472G6472M</v>
      </c>
      <c r="D19" s="2" t="s">
        <v>1265</v>
      </c>
      <c r="E19" s="2" t="s">
        <v>1263</v>
      </c>
      <c r="F19" s="2" t="str">
        <f aca="false">CONCATENATE("Footprints\Inductance\",G19,".PcbLib")</f>
        <v>Footprints\Inductance\B82462G4.PcbLib</v>
      </c>
      <c r="G19" s="2" t="s">
        <v>1285</v>
      </c>
      <c r="H19" s="2" t="str">
        <f aca="false">CONCATENATE("Footprints\Inductance\",I19,".PcbLib")</f>
        <v>Footprints\Inductance\.PcbLib</v>
      </c>
      <c r="I19" s="2"/>
      <c r="J19" s="2" t="str">
        <f aca="false">CONCATENATE("Footprints\Inductance\",K19,".PcbLib")</f>
        <v>Footprints\Inductance\.PcbLib</v>
      </c>
      <c r="K19" s="2"/>
      <c r="L19" s="2" t="str">
        <f aca="false">CONCATENATE("Footprints\Inductance\",M19,".PcbLib")</f>
        <v>Footprints\Inductance\.PcbLib</v>
      </c>
      <c r="M19" s="2"/>
      <c r="N19" s="16" t="n">
        <v>4.7</v>
      </c>
      <c r="O19" s="3" t="s">
        <v>1325</v>
      </c>
      <c r="P19" s="3" t="str">
        <f aca="false">CONCATENATE(N19, " мк")</f>
        <v>4,7 мк</v>
      </c>
      <c r="R19" s="3" t="s">
        <v>35</v>
      </c>
    </row>
    <row r="20" customFormat="false" ht="15" hidden="false" customHeight="false" outlineLevel="0" collapsed="false">
      <c r="A20" s="0" t="s">
        <v>1326</v>
      </c>
      <c r="B20" s="0" t="s">
        <v>1327</v>
      </c>
      <c r="C20" s="0" t="str">
        <f aca="false">A20</f>
        <v>CDRH6D12NP-2R2NC</v>
      </c>
      <c r="D20" s="2" t="s">
        <v>1328</v>
      </c>
      <c r="E20" s="2" t="s">
        <v>1329</v>
      </c>
      <c r="F20" s="2" t="str">
        <f aca="false">CONCATENATE("Footprints\Inductance\",G20,".PcbLib")</f>
        <v>Footprints\Inductance\CDRH6D12.PcbLib</v>
      </c>
      <c r="G20" s="2" t="s">
        <v>1330</v>
      </c>
      <c r="H20" s="2" t="str">
        <f aca="false">CONCATENATE("Footprints\Inductance\",I20,".PcbLib")</f>
        <v>Footprints\Inductance\.PcbLib</v>
      </c>
      <c r="I20" s="2"/>
      <c r="J20" s="2" t="str">
        <f aca="false">CONCATENATE("Footprints\Inductance\",K20,".PcbLib")</f>
        <v>Footprints\Inductance\.PcbLib</v>
      </c>
      <c r="K20" s="2"/>
      <c r="L20" s="2" t="str">
        <f aca="false">CONCATENATE("Footprints\Inductance\",M20,".PcbLib")</f>
        <v>Footprints\Inductance\.PcbLib</v>
      </c>
      <c r="M20" s="2"/>
      <c r="N20" s="16" t="n">
        <v>2.2</v>
      </c>
      <c r="O20" s="3" t="s">
        <v>1325</v>
      </c>
      <c r="P20" s="3" t="str">
        <f aca="false">CONCATENATE(N20, " мк")</f>
        <v>2,2 мк</v>
      </c>
      <c r="R20" s="3" t="s">
        <v>35</v>
      </c>
    </row>
    <row r="21" customFormat="false" ht="15" hidden="false" customHeight="false" outlineLevel="0" collapsed="false">
      <c r="A21" s="0" t="s">
        <v>1331</v>
      </c>
      <c r="B21" s="0" t="s">
        <v>1332</v>
      </c>
      <c r="C21" s="0" t="str">
        <f aca="false">A21</f>
        <v>GP2426SR</v>
      </c>
      <c r="D21" s="2" t="s">
        <v>1333</v>
      </c>
      <c r="E21" s="2" t="s">
        <v>1334</v>
      </c>
      <c r="F21" s="2" t="str">
        <f aca="false">CONCATENATE("Footprints\Inductance\",G21,".PcbLib")</f>
        <v>Footprints\Inductance\GP2426SR.PcbLib</v>
      </c>
      <c r="G21" s="3" t="s">
        <v>1331</v>
      </c>
      <c r="H21" s="2" t="str">
        <f aca="false">CONCATENATE("Footprints\Inductance\",I21,".PcbLib")</f>
        <v>Footprints\Inductance\.PcbLib</v>
      </c>
      <c r="I21" s="2"/>
      <c r="J21" s="2" t="str">
        <f aca="false">CONCATENATE("Footprints\Inductance\",K21,".PcbLib")</f>
        <v>Footprints\Inductance\.PcbLib</v>
      </c>
      <c r="K21" s="2"/>
      <c r="L21" s="2" t="str">
        <f aca="false">CONCATENATE("Footprints\Inductance\",M21,".PcbLib")</f>
        <v>Footprints\Inductance\.PcbLib</v>
      </c>
      <c r="M21" s="2"/>
      <c r="N21" s="16" t="n">
        <v>0</v>
      </c>
      <c r="O21" s="3" t="s">
        <v>1335</v>
      </c>
      <c r="P21" s="3" t="s">
        <v>1336</v>
      </c>
      <c r="R21" s="3" t="s">
        <v>35</v>
      </c>
    </row>
    <row r="22" customFormat="false" ht="15" hidden="false" customHeight="false" outlineLevel="0" collapsed="false">
      <c r="A22" s="0" t="s">
        <v>1337</v>
      </c>
      <c r="B22" s="0" t="s">
        <v>1338</v>
      </c>
      <c r="C22" s="0" t="str">
        <f aca="false">A22</f>
        <v>CDSP43-2R2M</v>
      </c>
      <c r="D22" s="2" t="s">
        <v>1265</v>
      </c>
      <c r="E22" s="2" t="s">
        <v>1263</v>
      </c>
      <c r="F22" s="2" t="str">
        <f aca="false">CONCATENATE("Footprints\Inductance\",G22,".PcbLib")</f>
        <v>Footprints\Inductance\4.5x4_wired.PcbLib</v>
      </c>
      <c r="G22" s="2" t="s">
        <v>1295</v>
      </c>
      <c r="H22" s="2" t="str">
        <f aca="false">CONCATENATE("Footprints\Inductance\",I22,".PcbLib")</f>
        <v>Footprints\Inductance\.PcbLib</v>
      </c>
      <c r="I22" s="2"/>
      <c r="J22" s="2" t="str">
        <f aca="false">CONCATENATE("Footprints\Inductance\",K22,".PcbLib")</f>
        <v>Footprints\Inductance\.PcbLib</v>
      </c>
      <c r="K22" s="2"/>
      <c r="L22" s="2" t="str">
        <f aca="false">CONCATENATE("Footprints\Inductance\",M22,".PcbLib")</f>
        <v>Footprints\Inductance\.PcbLib</v>
      </c>
      <c r="M22" s="2"/>
      <c r="N22" s="16" t="n">
        <v>2.2</v>
      </c>
      <c r="O22" s="3" t="s">
        <v>1339</v>
      </c>
      <c r="P22" s="3" t="str">
        <f aca="false">CONCATENATE(N22, " мк")</f>
        <v>2,2 мк</v>
      </c>
      <c r="Q22" s="3" t="s">
        <v>1340</v>
      </c>
      <c r="R22" s="3" t="s">
        <v>35</v>
      </c>
    </row>
    <row r="23" customFormat="false" ht="15" hidden="false" customHeight="false" outlineLevel="0" collapsed="false">
      <c r="A23" s="0" t="s">
        <v>1341</v>
      </c>
      <c r="B23" s="0" t="s">
        <v>1342</v>
      </c>
      <c r="C23" s="0" t="str">
        <f aca="false">A23</f>
        <v>IHLP2020BZER2R2M01</v>
      </c>
      <c r="D23" s="2" t="s">
        <v>1265</v>
      </c>
      <c r="E23" s="2" t="s">
        <v>1263</v>
      </c>
      <c r="F23" s="2" t="str">
        <f aca="false">CONCATENATE("Footprints\Inductance\",G23,".PcbLib")</f>
        <v>Footprints\Inductance\IHLP-2020.PcbLib</v>
      </c>
      <c r="G23" s="2" t="s">
        <v>1343</v>
      </c>
      <c r="H23" s="2" t="str">
        <f aca="false">CONCATENATE("Footprints\Inductance\",I23,".PcbLib")</f>
        <v>Footprints\Inductance\.PcbLib</v>
      </c>
      <c r="I23" s="2"/>
      <c r="J23" s="2" t="str">
        <f aca="false">CONCATENATE("Footprints\Inductance\",K23,".PcbLib")</f>
        <v>Footprints\Inductance\.PcbLib</v>
      </c>
      <c r="K23" s="2"/>
      <c r="L23" s="2" t="str">
        <f aca="false">CONCATENATE("Footprints\Inductance\",M23,".PcbLib")</f>
        <v>Footprints\Inductance\.PcbLib</v>
      </c>
      <c r="M23" s="2"/>
      <c r="N23" s="16" t="n">
        <v>2.2</v>
      </c>
      <c r="O23" s="3" t="s">
        <v>1344</v>
      </c>
      <c r="P23" s="3" t="str">
        <f aca="false">CONCATENATE(N23, " мк")</f>
        <v>2,2 мк</v>
      </c>
      <c r="Q23" s="3" t="s">
        <v>1345</v>
      </c>
      <c r="R23" s="3" t="s">
        <v>35</v>
      </c>
    </row>
    <row r="24" customFormat="false" ht="15" hidden="false" customHeight="false" outlineLevel="0" collapsed="false">
      <c r="A24" s="0" t="s">
        <v>1346</v>
      </c>
      <c r="B24" s="0" t="s">
        <v>1347</v>
      </c>
      <c r="C24" s="0" t="str">
        <f aca="false">A24</f>
        <v>B78476A8065A003</v>
      </c>
      <c r="D24" s="2" t="s">
        <v>1348</v>
      </c>
      <c r="E24" s="3" t="s">
        <v>1346</v>
      </c>
      <c r="F24" s="2" t="str">
        <f aca="false">CONCATENATE("Footprints\Inductance\",G24,".PcbLib")</f>
        <v>Footprints\Inductance\B78476A8065A003.PcbLib</v>
      </c>
      <c r="G24" s="2" t="s">
        <v>1346</v>
      </c>
      <c r="H24" s="2" t="str">
        <f aca="false">CONCATENATE("Footprints\Inductance\",I24,".PcbLib")</f>
        <v>Footprints\Inductance\.PcbLib</v>
      </c>
      <c r="I24" s="2"/>
      <c r="J24" s="2" t="str">
        <f aca="false">CONCATENATE("Footprints\Inductance\",K24,".PcbLib")</f>
        <v>Footprints\Inductance\.PcbLib</v>
      </c>
      <c r="K24" s="2"/>
      <c r="L24" s="2" t="str">
        <f aca="false">CONCATENATE("Footprints\Inductance\",M24,".PcbLib")</f>
        <v>Footprints\Inductance\.PcbLib</v>
      </c>
      <c r="M24" s="2"/>
      <c r="N24" s="16" t="n">
        <v>0</v>
      </c>
      <c r="O24" s="3" t="s">
        <v>1335</v>
      </c>
      <c r="P24" s="3" t="s">
        <v>1336</v>
      </c>
      <c r="Q24" s="3" t="s">
        <v>1349</v>
      </c>
      <c r="R24" s="3" t="s">
        <v>35</v>
      </c>
    </row>
    <row r="25" customFormat="false" ht="15" hidden="false" customHeight="false" outlineLevel="0" collapsed="false">
      <c r="A25" s="0" t="s">
        <v>1350</v>
      </c>
      <c r="B25" s="0" t="s">
        <v>1351</v>
      </c>
      <c r="C25" s="0" t="str">
        <f aca="false">A25</f>
        <v>MPXV1D1250L150</v>
      </c>
      <c r="D25" s="2" t="s">
        <v>1265</v>
      </c>
      <c r="E25" s="2" t="s">
        <v>1263</v>
      </c>
      <c r="F25" s="2" t="str">
        <f aca="false">CONCATENATE("Footprints\Inductance\",G25,".PcbLib")</f>
        <v>Footprints\Inductance\MPXV1D1250.PcbLib</v>
      </c>
      <c r="G25" s="2" t="s">
        <v>1352</v>
      </c>
      <c r="H25" s="2" t="str">
        <f aca="false">CONCATENATE("Footprints\Inductance\",I25,".PcbLib")</f>
        <v>Footprints\Inductance\.PcbLib</v>
      </c>
      <c r="I25" s="2"/>
      <c r="J25" s="2" t="str">
        <f aca="false">CONCATENATE("Footprints\Inductance\",K25,".PcbLib")</f>
        <v>Footprints\Inductance\.PcbLib</v>
      </c>
      <c r="K25" s="2"/>
      <c r="L25" s="2" t="str">
        <f aca="false">CONCATENATE("Footprints\Inductance\",M25,".PcbLib")</f>
        <v>Footprints\Inductance\.PcbLib</v>
      </c>
      <c r="M25" s="2"/>
      <c r="N25" s="16" t="n">
        <v>15</v>
      </c>
      <c r="O25" s="3" t="s">
        <v>1353</v>
      </c>
      <c r="P25" s="3" t="str">
        <f aca="false">CONCATENATE(N25, " мк")</f>
        <v>15 мк</v>
      </c>
      <c r="Q25" s="3" t="s">
        <v>1354</v>
      </c>
      <c r="R25" s="3" t="s">
        <v>35</v>
      </c>
    </row>
    <row r="26" customFormat="false" ht="15" hidden="false" customHeight="false" outlineLevel="0" collapsed="false">
      <c r="A26" s="0" t="s">
        <v>1355</v>
      </c>
      <c r="B26" s="0" t="s">
        <v>1356</v>
      </c>
      <c r="C26" s="0" t="str">
        <f aca="false">A26</f>
        <v>H5120NLT</v>
      </c>
      <c r="D26" s="2" t="s">
        <v>1357</v>
      </c>
      <c r="E26" s="2" t="s">
        <v>1358</v>
      </c>
      <c r="F26" s="2" t="str">
        <f aca="false">CONCATENATE("Footprints\Inductance\",G26,".PcbLib")</f>
        <v>Footprints\Inductance\H5120NLT.PcbLib</v>
      </c>
      <c r="G26" s="3" t="s">
        <v>1355</v>
      </c>
      <c r="H26" s="2" t="str">
        <f aca="false">CONCATENATE("Footprints\Inductance\",I26,".PcbLib")</f>
        <v>Footprints\Inductance\.PcbLib</v>
      </c>
      <c r="I26" s="2"/>
      <c r="J26" s="2" t="str">
        <f aca="false">CONCATENATE("Footprints\Inductance\",K26,".PcbLib")</f>
        <v>Footprints\Inductance\.PcbLib</v>
      </c>
      <c r="K26" s="2"/>
      <c r="L26" s="2" t="str">
        <f aca="false">CONCATENATE("Footprints\Inductance\",M26,".PcbLib")</f>
        <v>Footprints\Inductance\.PcbLib</v>
      </c>
      <c r="M26" s="2"/>
      <c r="N26" s="16" t="n">
        <v>0</v>
      </c>
      <c r="O26" s="3" t="s">
        <v>1335</v>
      </c>
      <c r="P26" s="3" t="s">
        <v>1336</v>
      </c>
      <c r="Q26" s="3" t="s">
        <v>1359</v>
      </c>
      <c r="R26" s="3" t="s">
        <v>35</v>
      </c>
    </row>
    <row r="27" customFormat="false" ht="15" hidden="false" customHeight="false" outlineLevel="0" collapsed="false">
      <c r="A27" s="0" t="s">
        <v>1360</v>
      </c>
      <c r="B27" s="2" t="s">
        <v>1361</v>
      </c>
      <c r="C27" s="3" t="str">
        <f aca="false">A27</f>
        <v>IHLP4040DZER150M11</v>
      </c>
      <c r="D27" s="2" t="s">
        <v>1265</v>
      </c>
      <c r="E27" s="2" t="s">
        <v>1263</v>
      </c>
      <c r="F27" s="2" t="str">
        <f aca="false">CONCATENATE("Footprints\Inductance\",G27,".PcbLib")</f>
        <v>Footprints\Inductance\IHLP-4040.PcbLib</v>
      </c>
      <c r="G27" s="2" t="s">
        <v>1272</v>
      </c>
      <c r="H27" s="2" t="str">
        <f aca="false">CONCATENATE("Footprints\Inductance\",I27,".PcbLib")</f>
        <v>Footprints\Inductance\.PcbLib</v>
      </c>
      <c r="I27" s="2"/>
      <c r="J27" s="2" t="str">
        <f aca="false">CONCATENATE("Footprints\Inductance\",K27,".PcbLib")</f>
        <v>Footprints\Inductance\.PcbLib</v>
      </c>
      <c r="K27" s="2"/>
      <c r="L27" s="2" t="str">
        <f aca="false">CONCATENATE("Footprints\Inductance\",M27,".PcbLib")</f>
        <v>Footprints\Inductance\.PcbLib</v>
      </c>
      <c r="M27" s="2"/>
      <c r="N27" s="16" t="n">
        <v>15</v>
      </c>
      <c r="O27" s="3" t="s">
        <v>1362</v>
      </c>
      <c r="P27" s="2" t="str">
        <f aca="false">CONCATENATE(N27, " мк")</f>
        <v>15 мк</v>
      </c>
      <c r="Q27" s="3" t="s">
        <v>1363</v>
      </c>
      <c r="R27" s="3" t="s">
        <v>35</v>
      </c>
    </row>
    <row r="28" customFormat="false" ht="16.4" hidden="false" customHeight="false" outlineLevel="0" collapsed="false">
      <c r="A28" s="0" t="s">
        <v>1364</v>
      </c>
      <c r="B28" s="0" t="s">
        <v>1365</v>
      </c>
      <c r="C28" s="0" t="str">
        <f aca="false">A28</f>
        <v>Transformer_RM8</v>
      </c>
      <c r="D28" s="2" t="s">
        <v>1366</v>
      </c>
      <c r="E28" s="2" t="s">
        <v>1364</v>
      </c>
      <c r="F28" s="2" t="str">
        <f aca="false">CONCATENATE("Footprints\Inductance\",G28,".PcbLib")</f>
        <v>Footprints\Inductance\RM8_trans.PcbLib</v>
      </c>
      <c r="G28" s="2" t="s">
        <v>1367</v>
      </c>
      <c r="H28" s="2" t="str">
        <f aca="false">CONCATENATE("Footprints\Inductance\",I28,".PcbLib")</f>
        <v>Footprints\Inductance\.PcbLib</v>
      </c>
      <c r="I28" s="2"/>
      <c r="J28" s="2" t="str">
        <f aca="false">CONCATENATE("Footprints\Inductance\",K28,".PcbLib")</f>
        <v>Footprints\Inductance\.PcbLib</v>
      </c>
      <c r="K28" s="2"/>
      <c r="L28" s="2" t="str">
        <f aca="false">CONCATENATE("Footprints\Inductance\",M28,".PcbLib")</f>
        <v>Footprints\Inductance\.PcbLib</v>
      </c>
      <c r="M28" s="2"/>
      <c r="Q28" s="11" t="s">
        <v>1368</v>
      </c>
      <c r="R28" s="3" t="s">
        <v>146</v>
      </c>
    </row>
    <row r="29" customFormat="false" ht="16.4" hidden="false" customHeight="false" outlineLevel="0" collapsed="false">
      <c r="A29" s="0" t="s">
        <v>1369</v>
      </c>
      <c r="B29" s="0" t="s">
        <v>1370</v>
      </c>
      <c r="C29" s="0" t="str">
        <f aca="false">A29</f>
        <v>Inductance_RM8</v>
      </c>
      <c r="D29" s="2" t="s">
        <v>1371</v>
      </c>
      <c r="E29" s="3" t="s">
        <v>1369</v>
      </c>
      <c r="F29" s="2" t="str">
        <f aca="false">CONCATENATE("Footprints\Inductance\",G29,".PcbLib")</f>
        <v>Footprints\Inductance\RM8_trans.PcbLib</v>
      </c>
      <c r="G29" s="2" t="s">
        <v>1367</v>
      </c>
      <c r="H29" s="2" t="str">
        <f aca="false">CONCATENATE("Footprints\Inductance\",I29,".PcbLib")</f>
        <v>Footprints\Inductance\.PcbLib</v>
      </c>
      <c r="I29" s="2"/>
      <c r="J29" s="2" t="str">
        <f aca="false">CONCATENATE("Footprints\Inductance\",K29,".PcbLib")</f>
        <v>Footprints\Inductance\.PcbLib</v>
      </c>
      <c r="K29" s="2"/>
      <c r="L29" s="2" t="str">
        <f aca="false">CONCATENATE("Footprints\Inductance\",M29,".PcbLib")</f>
        <v>Footprints\Inductance\.PcbLib</v>
      </c>
      <c r="M29" s="2"/>
      <c r="P29" s="3" t="n">
        <f aca="false">N29</f>
        <v>0</v>
      </c>
      <c r="Q29" s="11" t="s">
        <v>1368</v>
      </c>
      <c r="R29" s="3" t="s">
        <v>146</v>
      </c>
    </row>
    <row r="30" customFormat="false" ht="16.4" hidden="false" customHeight="false" outlineLevel="0" collapsed="false">
      <c r="A30" s="0" t="s">
        <v>1372</v>
      </c>
      <c r="B30" s="0" t="s">
        <v>1373</v>
      </c>
      <c r="C30" s="0" t="str">
        <f aca="false">A30</f>
        <v>BLM18AG102SN1D</v>
      </c>
      <c r="D30" s="2" t="s">
        <v>1374</v>
      </c>
      <c r="E30" s="2" t="s">
        <v>1375</v>
      </c>
      <c r="F30" s="2" t="str">
        <f aca="false">CONCATENATE("Footprints\Inductance\",G30,".PcbLib")</f>
        <v>Footprints\Inductance\0603L.PcbLib</v>
      </c>
      <c r="G30" s="2" t="s">
        <v>1266</v>
      </c>
      <c r="H30" s="2" t="str">
        <f aca="false">CONCATENATE("Footprints\Inductance\",I30,".PcbLib")</f>
        <v>Footprints\Inductance\.PcbLib</v>
      </c>
      <c r="I30" s="2"/>
      <c r="J30" s="2" t="str">
        <f aca="false">CONCATENATE("Footprints\Inductance\",K30,".PcbLib")</f>
        <v>Footprints\Inductance\.PcbLib</v>
      </c>
      <c r="K30" s="2"/>
      <c r="L30" s="2" t="str">
        <f aca="false">CONCATENATE("Footprints\Inductance\",M30,".PcbLib")</f>
        <v>Footprints\Inductance\.PcbLib</v>
      </c>
      <c r="M30" s="2"/>
      <c r="Q30" s="11" t="s">
        <v>1376</v>
      </c>
      <c r="R30" s="3" t="s">
        <v>146</v>
      </c>
    </row>
  </sheetData>
  <hyperlinks>
    <hyperlink ref="Q28" r:id="rId1" display="https://static.chipdip.ru/lib/153/DOC004153919.pdf"/>
    <hyperlink ref="Q29" r:id="rId2" display="https://static.chipdip.ru/lib/153/DOC004153919.pdf"/>
    <hyperlink ref="Q30" r:id="rId3" display="https://www.chipdip.ru/product/blm18ag102sn1d-1-kom-0.4a-0603-drossel-podavleniya-murata-9000029220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J14" activeCellId="0" sqref="J14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"/>
    <col collapsed="false" customWidth="true" hidden="false" outlineLevel="0" max="2" min="2" style="0" width="22.43"/>
    <col collapsed="false" customWidth="true" hidden="false" outlineLevel="0" max="3" min="3" style="0" width="11"/>
    <col collapsed="false" customWidth="true" hidden="false" outlineLevel="0" max="4" min="4" style="0" width="34.29"/>
    <col collapsed="false" customWidth="true" hidden="false" outlineLevel="0" max="5" min="5" style="0" width="20.57"/>
    <col collapsed="false" customWidth="true" hidden="false" outlineLevel="0" max="6" min="6" style="0" width="21.71"/>
    <col collapsed="false" customWidth="true" hidden="false" outlineLevel="0" max="7" min="7" style="0" width="17.71"/>
    <col collapsed="false" customWidth="true" hidden="false" outlineLevel="0" max="8" min="8" style="0" width="22.71"/>
    <col collapsed="false" customWidth="true" hidden="false" outlineLevel="0" max="9" min="9" style="0" width="18.43"/>
    <col collapsed="false" customWidth="true" hidden="false" outlineLevel="0" max="10" min="10" style="0" width="16.72"/>
    <col collapsed="false" customWidth="true" hidden="false" outlineLevel="0" max="11" min="11" style="0" width="12.43"/>
    <col collapsed="false" customWidth="true" hidden="false" outlineLevel="0" max="12" min="12" style="0" width="13.29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233</v>
      </c>
      <c r="K1" s="1" t="s">
        <v>234</v>
      </c>
      <c r="L1" s="1" t="s">
        <v>11</v>
      </c>
      <c r="M1" s="53" t="s">
        <v>12</v>
      </c>
      <c r="N1" s="52"/>
      <c r="O1" s="1"/>
      <c r="P1" s="1"/>
      <c r="Q1" s="1"/>
    </row>
    <row r="2" customFormat="false" ht="15" hidden="false" customHeight="false" outlineLevel="0" collapsed="false">
      <c r="A2" s="54" t="s">
        <v>1377</v>
      </c>
      <c r="B2" s="55" t="s">
        <v>1378</v>
      </c>
      <c r="C2" s="36" t="str">
        <f aca="false">A2</f>
        <v>TS820-600B-TR</v>
      </c>
      <c r="D2" s="55" t="s">
        <v>1379</v>
      </c>
      <c r="E2" s="55" t="s">
        <v>1380</v>
      </c>
      <c r="F2" s="36" t="str">
        <f aca="false">CONCATENATE("Footprints\",G2,".PcbLib")</f>
        <v>Footprints\DPAK.PcbLib</v>
      </c>
      <c r="G2" s="55" t="s">
        <v>327</v>
      </c>
      <c r="H2" s="36"/>
      <c r="I2" s="36"/>
      <c r="J2" s="36" t="s">
        <v>1381</v>
      </c>
      <c r="K2" s="37" t="s">
        <v>249</v>
      </c>
      <c r="L2" s="37"/>
      <c r="M2" s="2" t="s">
        <v>35</v>
      </c>
      <c r="N2" s="16"/>
      <c r="O2" s="2"/>
      <c r="P2" s="2"/>
    </row>
    <row r="3" customFormat="false" ht="1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6"/>
      <c r="O3" s="2"/>
      <c r="P3" s="2"/>
    </row>
    <row r="4" customFormat="false" ht="1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6"/>
      <c r="O4" s="2"/>
      <c r="P4" s="2"/>
    </row>
    <row r="5" customFormat="false" ht="15" hidden="false" customHeight="false" outlineLevel="0" collapsed="false">
      <c r="D5" s="2"/>
      <c r="E5" s="2"/>
      <c r="F5" s="2"/>
      <c r="G5" s="2"/>
      <c r="H5" s="2"/>
      <c r="I5" s="2"/>
      <c r="J5" s="2"/>
      <c r="K5" s="2"/>
      <c r="L5" s="2"/>
      <c r="M5" s="2"/>
      <c r="N5" s="16"/>
      <c r="O5" s="2"/>
    </row>
    <row r="6" customFormat="false" ht="15" hidden="false" customHeight="false" outlineLevel="0" collapsed="false">
      <c r="D6" s="2"/>
      <c r="E6" s="2"/>
      <c r="F6" s="2"/>
      <c r="G6" s="2"/>
      <c r="H6" s="2"/>
      <c r="I6" s="2"/>
      <c r="J6" s="2"/>
      <c r="K6" s="2"/>
      <c r="L6" s="2"/>
      <c r="M6" s="2"/>
      <c r="N6" s="16"/>
      <c r="O6" s="2"/>
    </row>
    <row r="7" customFormat="false" ht="15" hidden="false" customHeight="false" outlineLevel="0" collapsed="false">
      <c r="D7" s="2"/>
      <c r="E7" s="2"/>
      <c r="F7" s="2"/>
      <c r="G7" s="2"/>
      <c r="H7" s="2"/>
      <c r="I7" s="2"/>
      <c r="J7" s="2"/>
      <c r="K7" s="2"/>
      <c r="L7" s="2"/>
      <c r="M7" s="2"/>
      <c r="N7" s="16"/>
      <c r="O7" s="2"/>
    </row>
    <row r="8" customFormat="false" ht="15" hidden="false" customHeight="false" outlineLevel="0" collapsed="false">
      <c r="D8" s="2"/>
      <c r="E8" s="2"/>
      <c r="F8" s="2"/>
      <c r="G8" s="2"/>
      <c r="H8" s="2"/>
      <c r="I8" s="2"/>
      <c r="J8" s="2"/>
      <c r="K8" s="2"/>
      <c r="L8" s="2"/>
      <c r="M8" s="2"/>
      <c r="N8" s="16"/>
      <c r="O8" s="2"/>
    </row>
    <row r="9" customFormat="false" ht="15" hidden="false" customHeight="false" outlineLevel="0" collapsed="false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6"/>
      <c r="O9" s="2"/>
      <c r="P9" s="2"/>
    </row>
    <row r="10" customFormat="false" ht="15" hidden="false" customHeight="false" outlineLevel="0" collapsed="false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6"/>
      <c r="P10" s="2"/>
    </row>
    <row r="11" customFormat="false" ht="15" hidden="false" customHeight="false" outlineLevel="0" collapsed="false">
      <c r="D11" s="2"/>
      <c r="E11" s="2"/>
      <c r="F11" s="2"/>
      <c r="G11" s="2"/>
      <c r="H11" s="2"/>
      <c r="I11" s="2"/>
      <c r="J11" s="2"/>
      <c r="K11" s="2"/>
      <c r="L11" s="2"/>
      <c r="M11" s="2"/>
      <c r="N11" s="16"/>
    </row>
    <row r="12" customFormat="false" ht="15" hidden="false" customHeight="false" outlineLevel="0" collapsed="false">
      <c r="D12" s="2"/>
      <c r="E12" s="2"/>
      <c r="F12" s="2"/>
      <c r="G12" s="2"/>
      <c r="H12" s="2"/>
      <c r="I12" s="2"/>
      <c r="J12" s="2"/>
      <c r="K12" s="2"/>
      <c r="L12" s="2"/>
      <c r="M12" s="2"/>
      <c r="N12" s="16"/>
      <c r="P12" s="2"/>
    </row>
    <row r="13" customFormat="false" ht="15" hidden="false" customHeight="false" outlineLevel="0" collapsed="false">
      <c r="D13" s="2"/>
      <c r="E13" s="2"/>
      <c r="F13" s="2"/>
      <c r="G13" s="2"/>
      <c r="H13" s="2"/>
      <c r="I13" s="2"/>
      <c r="J13" s="2"/>
      <c r="K13" s="2"/>
      <c r="L13" s="2"/>
      <c r="M13" s="2"/>
      <c r="N13" s="16"/>
      <c r="P13" s="2"/>
    </row>
    <row r="14" customFormat="false" ht="15" hidden="false" customHeight="false" outlineLevel="0" collapsed="false">
      <c r="D14" s="2"/>
      <c r="E14" s="2"/>
      <c r="F14" s="2"/>
      <c r="G14" s="2"/>
      <c r="H14" s="2"/>
      <c r="I14" s="2"/>
      <c r="J14" s="2"/>
      <c r="K14" s="2"/>
      <c r="L14" s="2"/>
      <c r="M14" s="2"/>
      <c r="N14" s="16"/>
    </row>
    <row r="22" customFormat="false" ht="15" hidden="false" customHeight="false" outlineLevel="0" collapsed="false">
      <c r="N22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29" activeCellId="0" sqref="D29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.71"/>
    <col collapsed="false" customWidth="true" hidden="false" outlineLevel="0" max="2" min="2" style="0" width="120"/>
    <col collapsed="false" customWidth="true" hidden="false" outlineLevel="0" max="3" min="3" style="0" width="20"/>
    <col collapsed="false" customWidth="true" hidden="false" outlineLevel="0" max="4" min="4" style="0" width="35.28"/>
    <col collapsed="false" customWidth="true" hidden="false" outlineLevel="0" max="5" min="5" style="0" width="14.43"/>
    <col collapsed="false" customWidth="true" hidden="false" outlineLevel="0" max="6" min="6" style="0" width="36.72"/>
    <col collapsed="false" customWidth="true" hidden="false" outlineLevel="0" max="7" min="7" style="0" width="16.72"/>
    <col collapsed="false" customWidth="true" hidden="false" outlineLevel="0" max="8" min="8" style="0" width="20.72"/>
    <col collapsed="false" customWidth="true" hidden="false" outlineLevel="0" max="9" min="9" style="0" width="16.72"/>
    <col collapsed="false" customWidth="true" hidden="false" outlineLevel="0" max="10" min="10" style="0" width="31.28"/>
    <col collapsed="false" customWidth="true" hidden="false" outlineLevel="0" max="11" min="11" style="0" width="17.43"/>
    <col collapsed="false" customWidth="true" hidden="false" outlineLevel="0" max="12" min="12" style="0" width="22.43"/>
    <col collapsed="false" customWidth="true" hidden="false" outlineLevel="0" max="13" min="13" style="0" width="17.86"/>
    <col collapsed="false" customWidth="true" hidden="false" outlineLevel="0" max="15" min="15" style="0" width="11.7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1007</v>
      </c>
      <c r="M1" s="1" t="s">
        <v>1008</v>
      </c>
      <c r="N1" s="1" t="s">
        <v>264</v>
      </c>
      <c r="O1" s="1" t="s">
        <v>11</v>
      </c>
      <c r="P1" s="53" t="s">
        <v>12</v>
      </c>
      <c r="Q1" s="1"/>
      <c r="R1" s="1"/>
      <c r="S1" s="1"/>
      <c r="T1" s="1"/>
    </row>
    <row r="2" customFormat="false" ht="15" hidden="false" customHeight="false" outlineLevel="0" collapsed="false">
      <c r="A2" s="2" t="s">
        <v>1382</v>
      </c>
      <c r="B2" s="2" t="s">
        <v>1383</v>
      </c>
      <c r="C2" s="2" t="str">
        <f aca="false">A2</f>
        <v>Tact_button</v>
      </c>
      <c r="D2" s="2" t="str">
        <f aca="false">CONCATENATE("Schematic\",A2,".SchLib")</f>
        <v>Schematic\Tact_button.SchLib</v>
      </c>
      <c r="E2" s="2" t="str">
        <f aca="false">A2</f>
        <v>Tact_button</v>
      </c>
      <c r="F2" s="2" t="str">
        <f aca="false">CONCATENATE("Footprints\Buttons\",G2,".PcbLib")</f>
        <v>Footprints\Buttons\Button_SMD_10mm.PcbLib</v>
      </c>
      <c r="G2" s="2" t="s">
        <v>1384</v>
      </c>
      <c r="H2" s="2" t="str">
        <f aca="false">CONCATENATE("Footprints\Buttons\",I2,".PcbLib")</f>
        <v>Footprints\Buttons\Button_SMD_6x6.PcbLib</v>
      </c>
      <c r="I2" s="2" t="s">
        <v>1385</v>
      </c>
      <c r="J2" s="2" t="str">
        <f aca="false">CONCATENATE("Footprints\Buttons\",K2,".PcbLib")</f>
        <v>Footprints\Buttons\Button_tht_6X6.PcbLib</v>
      </c>
      <c r="K2" s="2" t="s">
        <v>1386</v>
      </c>
      <c r="L2" s="2" t="str">
        <f aca="false">CONCATENATE("Footprints\",M2,".PcbLib")</f>
        <v>Footprints\.PcbLib</v>
      </c>
    </row>
    <row r="3" customFormat="false" ht="15" hidden="false" customHeight="false" outlineLevel="0" collapsed="false">
      <c r="A3" s="2" t="s">
        <v>1387</v>
      </c>
      <c r="B3" s="2" t="s">
        <v>1388</v>
      </c>
      <c r="C3" s="2" t="str">
        <f aca="false">A3</f>
        <v>LED</v>
      </c>
      <c r="D3" s="2" t="str">
        <f aca="false">CONCATENATE("Schematic\",A3,".SchLib")</f>
        <v>Schematic\LED.SchLib</v>
      </c>
      <c r="E3" s="2" t="str">
        <f aca="false">A3</f>
        <v>LED</v>
      </c>
      <c r="F3" s="2" t="str">
        <f aca="false">CONCATENATE("Footprints\",G3,".PcbLib")</f>
        <v>Footprints\0805D.PcbLib</v>
      </c>
      <c r="G3" s="2" t="s">
        <v>1389</v>
      </c>
      <c r="H3" s="2" t="s">
        <v>1390</v>
      </c>
      <c r="I3" s="2" t="s">
        <v>1391</v>
      </c>
      <c r="J3" s="2"/>
      <c r="K3" s="2"/>
      <c r="L3" s="2" t="str">
        <f aca="false">CONCATENATE("Footprints\",M3,".PcbLib")</f>
        <v>Footprints\.PcbLib</v>
      </c>
    </row>
    <row r="4" customFormat="false" ht="15" hidden="false" customHeight="false" outlineLevel="0" collapsed="false">
      <c r="A4" s="2" t="s">
        <v>1392</v>
      </c>
      <c r="B4" s="2" t="s">
        <v>1393</v>
      </c>
      <c r="C4" s="2" t="str">
        <f aca="false">A4</f>
        <v>XTAL</v>
      </c>
      <c r="D4" s="2" t="str">
        <f aca="false">CONCATENATE("Schematic\",A4,".SchLib")</f>
        <v>Schematic\XTAL.SchLib</v>
      </c>
      <c r="E4" s="2" t="str">
        <f aca="false">A4</f>
        <v>XTAL</v>
      </c>
      <c r="F4" s="2" t="str">
        <f aca="false">CONCATENATE("Footprints\XTAL\",G4,".PcbLib")</f>
        <v>Footprints\XTAL\HC49SD.PcbLib</v>
      </c>
      <c r="G4" s="2" t="s">
        <v>1394</v>
      </c>
      <c r="H4" s="2"/>
      <c r="I4" s="2"/>
      <c r="J4" s="2"/>
      <c r="K4" s="2"/>
      <c r="L4" s="2" t="str">
        <f aca="false">CONCATENATE("Footprints\",M4,".PcbLib")</f>
        <v>Footprints\.PcbLib</v>
      </c>
    </row>
    <row r="5" customFormat="false" ht="15" hidden="false" customHeight="false" outlineLevel="0" collapsed="false">
      <c r="A5" s="2" t="s">
        <v>1395</v>
      </c>
      <c r="B5" s="2" t="s">
        <v>1396</v>
      </c>
      <c r="C5" s="2" t="str">
        <f aca="false">A5</f>
        <v>XTAL_GND</v>
      </c>
      <c r="D5" s="2" t="str">
        <f aca="false">CONCATENATE("Schematic\",A5,".SchLib")</f>
        <v>Schematic\XTAL_GND.SchLib</v>
      </c>
      <c r="E5" s="2" t="str">
        <f aca="false">A5</f>
        <v>XTAL_GND</v>
      </c>
      <c r="F5" s="2" t="s">
        <v>1397</v>
      </c>
      <c r="G5" s="2" t="s">
        <v>1398</v>
      </c>
      <c r="H5" s="2"/>
      <c r="I5" s="2"/>
      <c r="J5" s="2"/>
      <c r="K5" s="2"/>
      <c r="L5" s="2" t="str">
        <f aca="false">CONCATENATE("Footprints\",M5,".PcbLib")</f>
        <v>Footprints\.PcbLib</v>
      </c>
    </row>
    <row r="6" customFormat="false" ht="15" hidden="false" customHeight="false" outlineLevel="0" collapsed="false">
      <c r="A6" s="2" t="s">
        <v>1399</v>
      </c>
      <c r="B6" s="2" t="s">
        <v>1400</v>
      </c>
      <c r="C6" s="2" t="str">
        <f aca="false">A6</f>
        <v>SB</v>
      </c>
      <c r="D6" s="2" t="str">
        <f aca="false">CONCATENATE("Schematic\",A6,".SchLib")</f>
        <v>Schematic\SB.SchLib</v>
      </c>
      <c r="E6" s="2" t="str">
        <f aca="false">A6</f>
        <v>SB</v>
      </c>
      <c r="F6" s="2" t="str">
        <f aca="false">CONCATENATE("Footprints\",G6,".PcbLib")</f>
        <v>Footprints\0805SB.PcbLib</v>
      </c>
      <c r="G6" s="2" t="s">
        <v>1401</v>
      </c>
      <c r="H6" s="2" t="str">
        <f aca="false">CONCATENATE("Footprints\",I6,".PcbLib")</f>
        <v>Footprints\1206SB.PcbLib</v>
      </c>
      <c r="I6" s="2" t="s">
        <v>1402</v>
      </c>
      <c r="J6" s="2" t="str">
        <f aca="false">CONCATENATE("Footprints\",K6,".PcbLib")</f>
        <v>Footprints\0805SB_wide_gap.PcbLib</v>
      </c>
      <c r="K6" s="2" t="s">
        <v>1403</v>
      </c>
      <c r="L6" s="2" t="str">
        <f aca="false">CONCATENATE("Footprints\",M6,".PcbLib")</f>
        <v>Footprints\0603SB.PcbLib</v>
      </c>
      <c r="M6" s="2" t="s">
        <v>1404</v>
      </c>
      <c r="P6" s="3" t="s">
        <v>35</v>
      </c>
    </row>
    <row r="7" customFormat="false" ht="15" hidden="false" customHeight="false" outlineLevel="0" collapsed="false">
      <c r="A7" s="2" t="s">
        <v>1405</v>
      </c>
      <c r="B7" s="2" t="s">
        <v>1406</v>
      </c>
      <c r="C7" s="2" t="str">
        <f aca="false">A7</f>
        <v>CBM432AST23</v>
      </c>
      <c r="D7" s="2" t="str">
        <f aca="false">CONCATENATE("Schematic\precision_shunt_regulator",".SchLib")</f>
        <v>Schematic\precision_shunt_regulator.SchLib</v>
      </c>
      <c r="E7" s="2" t="s">
        <v>1407</v>
      </c>
      <c r="F7" s="2" t="str">
        <f aca="false">CONCATENATE("Footprints\",G7,".PcbLib")</f>
        <v>Footprints\SOT23-3.PcbLib</v>
      </c>
      <c r="G7" s="2" t="s">
        <v>192</v>
      </c>
      <c r="H7" s="2"/>
      <c r="I7" s="2"/>
      <c r="J7" s="2"/>
      <c r="K7" s="2"/>
      <c r="L7" s="2" t="str">
        <f aca="false">CONCATENATE("Footprints\",M7,".PcbLib")</f>
        <v>Footprints\.PcbLib</v>
      </c>
      <c r="P7" s="3" t="s">
        <v>35</v>
      </c>
    </row>
    <row r="8" customFormat="false" ht="15" hidden="false" customHeight="false" outlineLevel="0" collapsed="false">
      <c r="A8" s="2" t="s">
        <v>1408</v>
      </c>
      <c r="B8" s="2" t="s">
        <v>1409</v>
      </c>
      <c r="C8" s="2" t="str">
        <f aca="false">A8</f>
        <v>UMW TL431 0.5%</v>
      </c>
      <c r="D8" s="2" t="str">
        <f aca="false">CONCATENATE("Schematic\",Таблица8[[#This Row],[Library Ref]],".SchLib")</f>
        <v>Schematic\precision_shunt_regulator.SchLib</v>
      </c>
      <c r="E8" s="2" t="s">
        <v>1407</v>
      </c>
      <c r="F8" s="2" t="str">
        <f aca="false">CONCATENATE("Footprints\",G8,".PcbLib")</f>
        <v>Footprints\SOT23-3.PcbLib</v>
      </c>
      <c r="G8" s="2" t="s">
        <v>192</v>
      </c>
      <c r="H8" s="2"/>
      <c r="I8" s="2"/>
      <c r="J8" s="2"/>
      <c r="K8" s="2"/>
      <c r="L8" s="2" t="str">
        <f aca="false">CONCATENATE("Footprints\",M8,".PcbLib")</f>
        <v>Footprints\.PcbLib</v>
      </c>
      <c r="P8" s="3" t="s">
        <v>35</v>
      </c>
    </row>
    <row r="9" customFormat="false" ht="15" hidden="false" customHeight="false" outlineLevel="0" collapsed="false">
      <c r="A9" s="2" t="s">
        <v>1410</v>
      </c>
      <c r="B9" s="2" t="s">
        <v>1411</v>
      </c>
      <c r="C9" s="2" t="str">
        <f aca="false">A9</f>
        <v>Fuse 20x5 on clips FC-M</v>
      </c>
      <c r="D9" s="2" t="str">
        <f aca="false">CONCATENATE("Schematic\",Таблица8[[#This Row],[Library Ref]],".SchLib")</f>
        <v>Schematic\fuse.SchLib</v>
      </c>
      <c r="E9" s="2" t="s">
        <v>1412</v>
      </c>
      <c r="F9" s="2" t="str">
        <f aca="false">CONCATENATE("Footprints\",G9,".PcbLib")</f>
        <v>Footprints\fuse_20x5_on_clips_FC-M.PcbLib</v>
      </c>
      <c r="G9" s="2" t="s">
        <v>1413</v>
      </c>
      <c r="H9" s="2"/>
      <c r="I9" s="2"/>
      <c r="J9" s="2"/>
      <c r="K9" s="2"/>
      <c r="L9" s="2" t="str">
        <f aca="false">CONCATENATE("Footprints\",M9,".PcbLib")</f>
        <v>Footprints\.PcbLib</v>
      </c>
      <c r="P9" s="3" t="s">
        <v>35</v>
      </c>
    </row>
    <row r="10" customFormat="false" ht="15" hidden="false" customHeight="false" outlineLevel="0" collapsed="false">
      <c r="A10" s="2" t="s">
        <v>1414</v>
      </c>
      <c r="B10" s="2" t="s">
        <v>1415</v>
      </c>
      <c r="C10" s="2" t="str">
        <f aca="false">A10</f>
        <v>DHT22</v>
      </c>
      <c r="D10" s="2" t="str">
        <f aca="false">CONCATENATE("Schematic\",A10,".SchLib")</f>
        <v>Schematic\DHT22.SchLib</v>
      </c>
      <c r="E10" s="2" t="str">
        <f aca="false">A10</f>
        <v>DHT22</v>
      </c>
      <c r="F10" s="2" t="str">
        <f aca="false">CONCATENATE("Footprints\",G10,".PcbLib")</f>
        <v>Footprints\DHT22.PcbLib</v>
      </c>
      <c r="G10" s="2" t="s">
        <v>1414</v>
      </c>
      <c r="H10" s="2"/>
      <c r="I10" s="2"/>
      <c r="J10" s="2"/>
      <c r="K10" s="2"/>
      <c r="L10" s="2" t="str">
        <f aca="false">CONCATENATE("Footprints\",M10,".PcbLib")</f>
        <v>Footprints\.PcbLib</v>
      </c>
      <c r="P10" s="3" t="s">
        <v>35</v>
      </c>
    </row>
    <row r="11" customFormat="false" ht="15" hidden="false" customHeight="false" outlineLevel="0" collapsed="false">
      <c r="A11" s="2" t="s">
        <v>1416</v>
      </c>
      <c r="B11" s="2" t="s">
        <v>1417</v>
      </c>
      <c r="C11" s="2" t="str">
        <f aca="false">A11</f>
        <v>cooler4040</v>
      </c>
      <c r="D11" s="2" t="str">
        <f aca="false">CONCATENATE("Schematic\",A11,".SchLib")</f>
        <v>Schematic\cooler4040.SchLib</v>
      </c>
      <c r="E11" s="2" t="str">
        <f aca="false">A11</f>
        <v>cooler4040</v>
      </c>
      <c r="F11" s="2" t="str">
        <f aca="false">CONCATENATE("Footprints\",G11,".PcbLib")</f>
        <v>Footprints\cooler4040.PcbLib</v>
      </c>
      <c r="G11" s="2" t="s">
        <v>1416</v>
      </c>
      <c r="H11" s="2"/>
      <c r="I11" s="2"/>
      <c r="J11" s="2"/>
      <c r="K11" s="2"/>
      <c r="L11" s="2" t="str">
        <f aca="false">CONCATENATE("Footprints\",M11,".PcbLib")</f>
        <v>Footprints\.PcbLib</v>
      </c>
      <c r="P11" s="3" t="s">
        <v>35</v>
      </c>
    </row>
    <row r="12" customFormat="false" ht="15" hidden="false" customHeight="false" outlineLevel="0" collapsed="false">
      <c r="A12" s="2" t="s">
        <v>1418</v>
      </c>
      <c r="B12" s="2" t="s">
        <v>1419</v>
      </c>
      <c r="C12" s="2" t="str">
        <f aca="false">A12</f>
        <v>cooler3030</v>
      </c>
      <c r="D12" s="2" t="str">
        <f aca="false">CONCATENATE("Schematic\","cooler4040.SchLib")</f>
        <v>Schematic\cooler4040.SchLib</v>
      </c>
      <c r="E12" s="2" t="s">
        <v>1416</v>
      </c>
      <c r="F12" s="2" t="str">
        <f aca="false">CONCATENATE("Footprints\",G12,".PcbLib")</f>
        <v>Footprints\cooler3030.PcbLib</v>
      </c>
      <c r="G12" s="2" t="s">
        <v>1418</v>
      </c>
      <c r="H12" s="2"/>
      <c r="I12" s="2"/>
      <c r="J12" s="2"/>
      <c r="K12" s="2"/>
      <c r="L12" s="2" t="str">
        <f aca="false">CONCATENATE("Footprints\",M12,".PcbLib")</f>
        <v>Footprints\.PcbLib</v>
      </c>
      <c r="P12" s="3" t="s">
        <v>35</v>
      </c>
    </row>
    <row r="13" customFormat="false" ht="16.4" hidden="false" customHeight="false" outlineLevel="0" collapsed="false">
      <c r="A13" s="2" t="s">
        <v>1420</v>
      </c>
      <c r="B13" s="2" t="s">
        <v>1421</v>
      </c>
      <c r="C13" s="2" t="s">
        <v>1422</v>
      </c>
      <c r="D13" s="3" t="s">
        <v>1423</v>
      </c>
      <c r="E13" s="2" t="s">
        <v>1424</v>
      </c>
      <c r="F13" s="2" t="s">
        <v>1425</v>
      </c>
      <c r="G13" s="2" t="s">
        <v>1426</v>
      </c>
      <c r="H13" s="2"/>
      <c r="I13" s="2"/>
      <c r="J13" s="2"/>
      <c r="K13" s="2"/>
      <c r="L13" s="2" t="str">
        <f aca="false">CONCATENATE("Footprints\",M13,".PcbLib")</f>
        <v>Footprints\.PcbLib</v>
      </c>
      <c r="O13" s="11" t="s">
        <v>1427</v>
      </c>
      <c r="P13" s="3" t="s">
        <v>35</v>
      </c>
    </row>
    <row r="14" customFormat="false" ht="15" hidden="false" customHeight="false" outlineLevel="0" collapsed="false">
      <c r="A14" s="0" t="s">
        <v>1428</v>
      </c>
      <c r="B14" s="0" t="s">
        <v>1429</v>
      </c>
      <c r="C14" s="0" t="s">
        <v>1430</v>
      </c>
      <c r="D14" s="0" t="s">
        <v>1423</v>
      </c>
      <c r="E14" s="2" t="s">
        <v>1424</v>
      </c>
      <c r="F14" s="2" t="str">
        <f aca="false">CONCATENATE("Footprints\",G14,".PcbLib")</f>
        <v>Footprints\spacer_m2.5_h16.PcbLib</v>
      </c>
      <c r="G14" s="3" t="s">
        <v>1428</v>
      </c>
      <c r="J14" s="3" t="str">
        <f aca="false">CONCATENATE("Footprints\",K14,".PcbLib")</f>
        <v>Footprints\.PcbLib</v>
      </c>
      <c r="L14" s="2" t="str">
        <f aca="false">CONCATENATE("Footprints\",M14,".PcbLib")</f>
        <v>Footprints\.PcbLib</v>
      </c>
      <c r="P14" s="3" t="s">
        <v>35</v>
      </c>
    </row>
    <row r="15" customFormat="false" ht="15" hidden="false" customHeight="false" outlineLevel="0" collapsed="false">
      <c r="A15" s="0" t="s">
        <v>1431</v>
      </c>
      <c r="B15" s="0" t="s">
        <v>1432</v>
      </c>
      <c r="C15" s="0" t="str">
        <f aca="false">A15</f>
        <v>CR2032-VAY3-15.2</v>
      </c>
      <c r="D15" s="0" t="s">
        <v>1433</v>
      </c>
      <c r="E15" s="0" t="s">
        <v>1434</v>
      </c>
      <c r="F15" s="2" t="str">
        <f aca="false">CONCATENATE("Footprints\",G15,".PcbLib")</f>
        <v>Footprints\CR2032-VAY3-15.2.PcbLib</v>
      </c>
      <c r="G15" s="3" t="s">
        <v>1431</v>
      </c>
      <c r="J15" s="3" t="str">
        <f aca="false">CONCATENATE("Footprints\",K15,".PcbLib")</f>
        <v>Footprints\.PcbLib</v>
      </c>
      <c r="L15" s="2" t="str">
        <f aca="false">CONCATENATE("Footprints\",M15,".PcbLib")</f>
        <v>Footprints\.PcbLib</v>
      </c>
      <c r="P15" s="3" t="s">
        <v>35</v>
      </c>
    </row>
    <row r="16" customFormat="false" ht="15" hidden="false" customHeight="false" outlineLevel="0" collapsed="false">
      <c r="A16" s="0" t="s">
        <v>1435</v>
      </c>
      <c r="B16" s="0" t="s">
        <v>1436</v>
      </c>
      <c r="C16" s="0" t="s">
        <v>1437</v>
      </c>
      <c r="D16" s="0" t="str">
        <f aca="false">CONCATENATE("Schematic\",A16,".SchLib")</f>
        <v>Schematic\4WayDIP.SchLib</v>
      </c>
      <c r="E16" s="0" t="s">
        <v>1438</v>
      </c>
      <c r="F16" s="0" t="s">
        <v>1439</v>
      </c>
      <c r="G16" s="0" t="s">
        <v>1440</v>
      </c>
      <c r="J16" s="0" t="str">
        <f aca="false">CONCATENATE("Footprints\",K16,".PcbLib")</f>
        <v>Footprints\.PcbLib</v>
      </c>
      <c r="L16" s="2" t="str">
        <f aca="false">CONCATENATE("Footprints\",M16,".PcbLib")</f>
        <v>Footprints\.PcbLib</v>
      </c>
    </row>
    <row r="17" customFormat="false" ht="15" hidden="false" customHeight="false" outlineLevel="0" collapsed="false">
      <c r="A17" s="0" t="s">
        <v>1441</v>
      </c>
      <c r="B17" s="0" t="s">
        <v>1442</v>
      </c>
      <c r="C17" s="0" t="str">
        <f aca="false">A17</f>
        <v>Button_DIP_12x12</v>
      </c>
      <c r="D17" s="0" t="s">
        <v>1443</v>
      </c>
      <c r="E17" s="2" t="s">
        <v>1382</v>
      </c>
      <c r="F17" s="3" t="s">
        <v>1444</v>
      </c>
      <c r="G17" s="3" t="s">
        <v>1441</v>
      </c>
      <c r="J17" s="3" t="str">
        <f aca="false">CONCATENATE("Footprints\",K17,".PcbLib")</f>
        <v>Footprints\.PcbLib</v>
      </c>
      <c r="L17" s="2" t="str">
        <f aca="false">CONCATENATE("Footprints\",M17,".PcbLib")</f>
        <v>Footprints\.PcbLib</v>
      </c>
    </row>
    <row r="18" customFormat="false" ht="15" hidden="false" customHeight="false" outlineLevel="0" collapsed="false">
      <c r="A18" s="0" t="s">
        <v>1445</v>
      </c>
      <c r="B18" s="0" t="s">
        <v>1446</v>
      </c>
      <c r="C18" s="0" t="str">
        <f aca="false">A18</f>
        <v>X322525MOB4SI</v>
      </c>
      <c r="D18" s="0" t="str">
        <f aca="false">CONCATENATE("Schematic\",E18,".SchLib")</f>
        <v>Schematic\XTAL_1-3_GND.SchLib</v>
      </c>
      <c r="E18" s="0" t="s">
        <v>1447</v>
      </c>
      <c r="F18" s="0" t="s">
        <v>1448</v>
      </c>
      <c r="G18" s="0" t="s">
        <v>1445</v>
      </c>
      <c r="J18" s="0" t="str">
        <f aca="false">CONCATENATE("Footprints\",K18,".PcbLib")</f>
        <v>Footprints\.PcbLib</v>
      </c>
      <c r="L18" s="2" t="str">
        <f aca="false">CONCATENATE("Footprints\",M18,".PcbLib")</f>
        <v>Footprints\.PcbLib</v>
      </c>
      <c r="N18" s="3" t="s">
        <v>1449</v>
      </c>
      <c r="O18" s="3" t="s">
        <v>1450</v>
      </c>
      <c r="P18" s="3" t="s">
        <v>35</v>
      </c>
    </row>
    <row r="19" customFormat="false" ht="15" hidden="false" customHeight="false" outlineLevel="0" collapsed="false">
      <c r="A19" s="2" t="s">
        <v>1451</v>
      </c>
      <c r="B19" s="2" t="s">
        <v>1383</v>
      </c>
      <c r="C19" s="2" t="str">
        <f aca="false">A19</f>
        <v>TSS-TD-19XA-XTR</v>
      </c>
      <c r="D19" s="3" t="str">
        <f aca="false">CONCATENATE("Schematic\",E19,".SchLib")</f>
        <v>Schematic\Tact_button.SchLib</v>
      </c>
      <c r="E19" s="2" t="s">
        <v>1382</v>
      </c>
      <c r="F19" s="2" t="str">
        <f aca="false">CONCATENATE("Footprints\Buttons\",G19,".PcbLib")</f>
        <v>Footprints\Buttons\TSS-TD-19XA-XTR.PcbLib</v>
      </c>
      <c r="G19" s="2" t="s">
        <v>1451</v>
      </c>
      <c r="H19" s="2"/>
      <c r="I19" s="2"/>
      <c r="J19" s="2"/>
      <c r="K19" s="2"/>
      <c r="L19" s="2" t="str">
        <f aca="false">CONCATENATE("Footprints\",M19,".PcbLib")</f>
        <v>Footprints\.PcbLib</v>
      </c>
      <c r="O19" s="3" t="s">
        <v>1452</v>
      </c>
      <c r="P19" s="3" t="s">
        <v>146</v>
      </c>
    </row>
    <row r="20" customFormat="false" ht="16.4" hidden="false" customHeight="false" outlineLevel="0" collapsed="false">
      <c r="A20" s="0" t="s">
        <v>1453</v>
      </c>
      <c r="B20" s="2" t="s">
        <v>1454</v>
      </c>
      <c r="C20" s="2" t="str">
        <f aca="false">A20</f>
        <v>SMT-NUT-M2H1.5</v>
      </c>
      <c r="D20" s="3" t="s">
        <v>1423</v>
      </c>
      <c r="E20" s="2" t="s">
        <v>1424</v>
      </c>
      <c r="F20" s="2" t="s">
        <v>1425</v>
      </c>
      <c r="G20" s="0" t="n">
        <v>9774015151</v>
      </c>
      <c r="L20" s="2" t="str">
        <f aca="false">CONCATENATE("Footprints\",M20,".PcbLib")</f>
        <v>Footprints\.PcbLib</v>
      </c>
      <c r="O20" s="11" t="s">
        <v>1427</v>
      </c>
      <c r="P20" s="3" t="s">
        <v>146</v>
      </c>
    </row>
    <row r="21" customFormat="false" ht="15" hidden="false" customHeight="false" outlineLevel="0" collapsed="false">
      <c r="A21" s="0" t="s">
        <v>1455</v>
      </c>
      <c r="B21" s="0" t="s">
        <v>1456</v>
      </c>
      <c r="C21" s="0" t="str">
        <f aca="false">A21</f>
        <v>LED 0603 RED</v>
      </c>
      <c r="D21" s="0" t="str">
        <f aca="false">CONCATENATE("Schematic\",E21,".SchLib")</f>
        <v>Schematic\LED.SchLib</v>
      </c>
      <c r="E21" s="0" t="s">
        <v>1387</v>
      </c>
      <c r="F21" s="0" t="str">
        <f aca="false">CONCATENATE("Footprints\",G21,".PcbLib")</f>
        <v>Footprints\0603D_red.PcbLib</v>
      </c>
      <c r="G21" s="0" t="s">
        <v>1457</v>
      </c>
      <c r="L21" s="2" t="str">
        <f aca="false">CONCATENATE("Footprints\",M21,".PcbLib")</f>
        <v>Footprints\.PcbLib</v>
      </c>
      <c r="N21" s="3" t="s">
        <v>1458</v>
      </c>
      <c r="P21" s="3" t="s">
        <v>35</v>
      </c>
    </row>
    <row r="22" customFormat="false" ht="15" hidden="false" customHeight="false" outlineLevel="0" collapsed="false">
      <c r="A22" s="0" t="s">
        <v>1459</v>
      </c>
      <c r="B22" s="0" t="s">
        <v>1460</v>
      </c>
      <c r="C22" s="0" t="str">
        <f aca="false">A22</f>
        <v>LED 0603 BLUE</v>
      </c>
      <c r="D22" s="0" t="str">
        <f aca="false">CONCATENATE("Schematic\",E22,".SchLib")</f>
        <v>Schematic\LED.SchLib</v>
      </c>
      <c r="E22" s="0" t="s">
        <v>1387</v>
      </c>
      <c r="F22" s="0" t="str">
        <f aca="false">CONCATENATE("Footprints\",G22,".PcbLib")</f>
        <v>Footprints\0603D_blue.PcbLib</v>
      </c>
      <c r="G22" s="0" t="s">
        <v>1461</v>
      </c>
      <c r="L22" s="2" t="str">
        <f aca="false">CONCATENATE("Footprints\",M22,".PcbLib")</f>
        <v>Footprints\.PcbLib</v>
      </c>
      <c r="N22" s="3" t="s">
        <v>1462</v>
      </c>
      <c r="P22" s="3" t="s">
        <v>35</v>
      </c>
    </row>
    <row r="23" customFormat="false" ht="15" hidden="false" customHeight="false" outlineLevel="0" collapsed="false">
      <c r="A23" s="0" t="s">
        <v>1463</v>
      </c>
      <c r="B23" s="0" t="s">
        <v>1464</v>
      </c>
      <c r="C23" s="0" t="str">
        <f aca="false">A23</f>
        <v>LED 0603 YELLOW</v>
      </c>
      <c r="D23" s="0" t="str">
        <f aca="false">CONCATENATE("Schematic\",E23,".SchLib")</f>
        <v>Schematic\LED.SchLib</v>
      </c>
      <c r="E23" s="0" t="s">
        <v>1387</v>
      </c>
      <c r="F23" s="0" t="str">
        <f aca="false">CONCATENATE("Footprints\",G23,".PcbLib")</f>
        <v>Footprints\0603D_yellow.PcbLib</v>
      </c>
      <c r="G23" s="0" t="s">
        <v>1465</v>
      </c>
      <c r="L23" s="2" t="str">
        <f aca="false">CONCATENATE("Footprints\",M23,".PcbLib")</f>
        <v>Footprints\.PcbLib</v>
      </c>
      <c r="N23" s="3" t="s">
        <v>1466</v>
      </c>
      <c r="P23" s="3" t="s">
        <v>35</v>
      </c>
    </row>
    <row r="24" customFormat="false" ht="15" hidden="false" customHeight="false" outlineLevel="0" collapsed="false">
      <c r="A24" s="0" t="s">
        <v>1467</v>
      </c>
      <c r="B24" s="0" t="s">
        <v>1468</v>
      </c>
      <c r="C24" s="0" t="str">
        <f aca="false">A24</f>
        <v>LED 0603 GREEN</v>
      </c>
      <c r="D24" s="0" t="str">
        <f aca="false">CONCATENATE("Schematic\",E24,".SchLib")</f>
        <v>Schematic\LED.SchLib</v>
      </c>
      <c r="E24" s="0" t="s">
        <v>1387</v>
      </c>
      <c r="F24" s="0" t="str">
        <f aca="false">CONCATENATE("Footprints\",G24,".PcbLib")</f>
        <v>Footprints\0603D_green.PcbLib</v>
      </c>
      <c r="G24" s="0" t="s">
        <v>1469</v>
      </c>
      <c r="L24" s="2" t="str">
        <f aca="false">CONCATENATE("Footprints\",M24,".PcbLib")</f>
        <v>Footprints\.PcbLib</v>
      </c>
      <c r="N24" s="3" t="s">
        <v>1470</v>
      </c>
      <c r="P24" s="3" t="s">
        <v>35</v>
      </c>
    </row>
    <row r="25" customFormat="false" ht="15" hidden="false" customHeight="false" outlineLevel="0" collapsed="false">
      <c r="A25" s="56" t="s">
        <v>1471</v>
      </c>
      <c r="B25" s="3" t="s">
        <v>1472</v>
      </c>
      <c r="C25" s="3" t="str">
        <f aca="false">A25</f>
        <v>ASEK-32.768KHZ-LRT</v>
      </c>
      <c r="D25" s="3" t="str">
        <f aca="false">CONCATENATE("Schematic\",A25,".SchLib")</f>
        <v>Schematic\ASEK-32.768KHZ-LRT.SchLib</v>
      </c>
      <c r="E25" s="3" t="str">
        <f aca="false">A25</f>
        <v>ASEK-32.768KHZ-LRT</v>
      </c>
      <c r="F25" s="3" t="str">
        <f aca="false">CONCATENATE("Footprints\XTAL\",G25,".PcbLib")</f>
        <v>Footprints\XTAL\XTAL_ASEK-32.768KHZ-LRT.PcbLib</v>
      </c>
      <c r="G25" s="3" t="s">
        <v>1473</v>
      </c>
      <c r="J25" s="3" t="str">
        <f aca="false">CONCATENATE("Footprints\",K25,".PcbLib")</f>
        <v>Footprints\.PcbLib</v>
      </c>
      <c r="L25" s="2" t="str">
        <f aca="false">CONCATENATE("Footprints\",M25,".PcbLib")</f>
        <v>Footprints\.PcbLib</v>
      </c>
      <c r="N25" s="3" t="s">
        <v>1474</v>
      </c>
      <c r="P25" s="3" t="s">
        <v>35</v>
      </c>
    </row>
    <row r="26" customFormat="false" ht="15" hidden="false" customHeight="false" outlineLevel="0" collapsed="false">
      <c r="A26" s="0" t="s">
        <v>1475</v>
      </c>
      <c r="B26" s="0" t="s">
        <v>1476</v>
      </c>
      <c r="C26" s="0" t="str">
        <f aca="false">A26</f>
        <v>MF-FSMF010X-2</v>
      </c>
      <c r="D26" s="0" t="str">
        <f aca="false">CONCATENATE("Schematic\",A26,".SchLib")</f>
        <v>Schematic\MF-FSMF010X-2.SchLib</v>
      </c>
      <c r="E26" s="0" t="str">
        <f aca="false">A26</f>
        <v>MF-FSMF010X-2</v>
      </c>
      <c r="F26" s="0" t="s">
        <v>408</v>
      </c>
      <c r="J26" s="0" t="str">
        <f aca="false">CONCATENATE("Footprints\",K26,".PcbLib")</f>
        <v>Footprints\.PcbLib</v>
      </c>
      <c r="L26" s="2" t="str">
        <f aca="false">CONCATENATE("Footprints\",M26,".PcbLib")</f>
        <v>Footprints\.PcbLib</v>
      </c>
      <c r="P26" s="3" t="s">
        <v>217</v>
      </c>
    </row>
    <row r="27" customFormat="false" ht="15" hidden="false" customHeight="false" outlineLevel="0" collapsed="false">
      <c r="A27" s="0" t="s">
        <v>1477</v>
      </c>
      <c r="B27" s="0" t="s">
        <v>1383</v>
      </c>
      <c r="C27" s="0" t="str">
        <f aca="false">A27</f>
        <v>KLS7-TS3601</v>
      </c>
      <c r="D27" s="0" t="str">
        <f aca="false">CONCATENATE("Schematic\",E27,".SchLib")</f>
        <v>Schematic\Tact_button.SchLib</v>
      </c>
      <c r="E27" s="0" t="s">
        <v>1382</v>
      </c>
      <c r="F27" s="0" t="str">
        <f aca="false">CONCATENATE("Footprints\Buttons\",G27,".PcbLib")</f>
        <v>Footprints\Buttons\KLS7-TS3601.PcbLib</v>
      </c>
      <c r="G27" s="0" t="s">
        <v>1477</v>
      </c>
      <c r="J27" s="0" t="str">
        <f aca="false">CONCATENATE("Footprints\",K27,".PcbLib")</f>
        <v>Footprints\.PcbLib</v>
      </c>
      <c r="L27" s="2" t="str">
        <f aca="false">CONCATENATE("Footprints\",M27,".PcbLib")</f>
        <v>Footprints\.PcbLib</v>
      </c>
      <c r="O27" s="3" t="s">
        <v>1478</v>
      </c>
      <c r="P27" s="3" t="s">
        <v>200</v>
      </c>
    </row>
    <row r="28" customFormat="false" ht="15" hidden="false" customHeight="false" outlineLevel="0" collapsed="false">
      <c r="A28" s="0" t="s">
        <v>1479</v>
      </c>
      <c r="B28" s="0" t="s">
        <v>1480</v>
      </c>
      <c r="C28" s="0" t="str">
        <f aca="false">A28</f>
        <v>L-KLS5-CR2032-03</v>
      </c>
      <c r="D28" s="0" t="s">
        <v>1433</v>
      </c>
      <c r="E28" s="0" t="s">
        <v>1434</v>
      </c>
      <c r="F28" s="0" t="str">
        <f aca="false">CONCATENATE("Footprints\",G28,".PcbLib")</f>
        <v>Footprints\L-KLS5-CR2032-03.PcbLib</v>
      </c>
      <c r="G28" s="0" t="s">
        <v>1479</v>
      </c>
      <c r="J28" s="0" t="str">
        <f aca="false">CONCATENATE("Footprints\",K28,".PcbLib")</f>
        <v>Footprints\.PcbLib</v>
      </c>
      <c r="L28" s="2" t="str">
        <f aca="false">CONCATENATE("Footprints\",M28,".PcbLib")</f>
        <v>Footprints\.PcbLib</v>
      </c>
      <c r="O28" s="3" t="s">
        <v>1481</v>
      </c>
      <c r="P28" s="3" t="s">
        <v>200</v>
      </c>
    </row>
  </sheetData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72"/>
  <sheetViews>
    <sheetView showFormulas="false" showGridLines="true" showRowColHeaders="true" showZeros="true" rightToLeft="false" tabSelected="false" showOutlineSymbols="true" defaultGridColor="true" view="normal" topLeftCell="A26" colorId="64" zoomScale="70" zoomScaleNormal="70" zoomScalePageLayoutView="100" workbookViewId="0">
      <selection pane="topLeft" activeCell="J74" activeCellId="0" sqref="J74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4.71"/>
    <col collapsed="false" customWidth="true" hidden="false" outlineLevel="0" max="2" min="2" style="0" width="40.43"/>
    <col collapsed="false" customWidth="true" hidden="false" outlineLevel="0" max="3" min="3" style="0" width="13.29"/>
    <col collapsed="false" customWidth="true" hidden="false" outlineLevel="0" max="4" min="4" style="0" width="45.71"/>
    <col collapsed="false" customWidth="true" hidden="false" outlineLevel="0" max="5" min="5" style="0" width="17.29"/>
    <col collapsed="false" customWidth="true" hidden="false" outlineLevel="0" max="6" min="6" style="0" width="51"/>
    <col collapsed="false" customWidth="true" hidden="false" outlineLevel="0" max="7" min="7" style="0" width="16.72"/>
    <col collapsed="false" customWidth="true" hidden="false" outlineLevel="0" max="8" min="8" style="0" width="44.43"/>
    <col collapsed="false" customWidth="true" hidden="false" outlineLevel="0" max="9" min="9" style="0" width="23.72"/>
    <col collapsed="false" customWidth="true" hidden="false" outlineLevel="0" max="10" min="10" style="0" width="28.72"/>
    <col collapsed="false" customWidth="true" hidden="false" outlineLevel="0" max="11" min="11" style="0" width="11.7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11</v>
      </c>
      <c r="K1" s="1" t="s">
        <v>1482</v>
      </c>
      <c r="L1" s="53" t="s">
        <v>12</v>
      </c>
      <c r="M1" s="1" t="s">
        <v>1483</v>
      </c>
      <c r="N1" s="1" t="s">
        <v>1484</v>
      </c>
    </row>
    <row r="2" customFormat="false" ht="15" hidden="false" customHeight="false" outlineLevel="0" collapsed="false">
      <c r="A2" s="2" t="s">
        <v>1485</v>
      </c>
      <c r="B2" s="2" t="s">
        <v>1486</v>
      </c>
      <c r="C2" s="2" t="s">
        <v>1485</v>
      </c>
      <c r="D2" s="3" t="s">
        <v>1487</v>
      </c>
      <c r="E2" s="2" t="s">
        <v>1488</v>
      </c>
      <c r="F2" s="3" t="s">
        <v>1489</v>
      </c>
      <c r="G2" s="2" t="s">
        <v>1485</v>
      </c>
      <c r="K2" s="3" t="s">
        <v>1490</v>
      </c>
    </row>
    <row r="3" customFormat="false" ht="15" hidden="false" customHeight="false" outlineLevel="0" collapsed="false">
      <c r="A3" s="2" t="s">
        <v>1491</v>
      </c>
      <c r="B3" s="2" t="s">
        <v>1486</v>
      </c>
      <c r="C3" s="2" t="s">
        <v>1491</v>
      </c>
      <c r="D3" s="3" t="s">
        <v>1492</v>
      </c>
      <c r="E3" s="2" t="s">
        <v>1493</v>
      </c>
      <c r="F3" s="3" t="s">
        <v>1494</v>
      </c>
      <c r="G3" s="2" t="s">
        <v>1491</v>
      </c>
      <c r="K3" s="3" t="s">
        <v>1490</v>
      </c>
    </row>
    <row r="4" customFormat="false" ht="15" hidden="false" customHeight="false" outlineLevel="0" collapsed="false">
      <c r="A4" s="0" t="s">
        <v>1495</v>
      </c>
      <c r="B4" s="0" t="s">
        <v>1496</v>
      </c>
      <c r="C4" s="2" t="s">
        <v>1495</v>
      </c>
      <c r="D4" s="3" t="s">
        <v>1497</v>
      </c>
      <c r="E4" s="2" t="s">
        <v>1498</v>
      </c>
      <c r="F4" s="3" t="s">
        <v>1499</v>
      </c>
      <c r="G4" s="3" t="s">
        <v>1500</v>
      </c>
      <c r="K4" s="3" t="s">
        <v>1490</v>
      </c>
      <c r="L4" s="3" t="s">
        <v>146</v>
      </c>
    </row>
    <row r="5" customFormat="false" ht="15" hidden="false" customHeight="false" outlineLevel="0" collapsed="false">
      <c r="A5" s="0" t="s">
        <v>1501</v>
      </c>
      <c r="B5" s="0" t="s">
        <v>1502</v>
      </c>
      <c r="C5" s="2" t="s">
        <v>1501</v>
      </c>
      <c r="D5" s="3" t="s">
        <v>1503</v>
      </c>
      <c r="E5" s="2" t="s">
        <v>1504</v>
      </c>
      <c r="F5" s="3" t="s">
        <v>1505</v>
      </c>
      <c r="G5" s="3" t="s">
        <v>1501</v>
      </c>
      <c r="K5" s="3" t="s">
        <v>1490</v>
      </c>
      <c r="L5" s="3" t="s">
        <v>146</v>
      </c>
    </row>
    <row r="6" customFormat="false" ht="15" hidden="false" customHeight="false" outlineLevel="0" collapsed="false">
      <c r="A6" s="0" t="s">
        <v>1506</v>
      </c>
      <c r="B6" s="0" t="s">
        <v>1507</v>
      </c>
      <c r="C6" s="2" t="s">
        <v>1506</v>
      </c>
      <c r="D6" s="3" t="s">
        <v>1508</v>
      </c>
      <c r="E6" s="2" t="s">
        <v>1509</v>
      </c>
      <c r="F6" s="3" t="s">
        <v>1510</v>
      </c>
      <c r="G6" s="3" t="s">
        <v>1506</v>
      </c>
      <c r="H6" s="3" t="s">
        <v>1511</v>
      </c>
      <c r="I6" s="3" t="s">
        <v>1512</v>
      </c>
      <c r="K6" s="3" t="s">
        <v>1490</v>
      </c>
    </row>
    <row r="7" customFormat="false" ht="15" hidden="false" customHeight="false" outlineLevel="0" collapsed="false">
      <c r="A7" s="0" t="s">
        <v>1513</v>
      </c>
      <c r="B7" s="0" t="s">
        <v>1514</v>
      </c>
      <c r="C7" s="2" t="s">
        <v>1513</v>
      </c>
      <c r="D7" s="3" t="s">
        <v>1515</v>
      </c>
      <c r="E7" s="2" t="s">
        <v>1516</v>
      </c>
      <c r="F7" s="3" t="s">
        <v>1517</v>
      </c>
      <c r="G7" s="3" t="s">
        <v>1513</v>
      </c>
      <c r="K7" s="3" t="s">
        <v>1490</v>
      </c>
      <c r="L7" s="3" t="s">
        <v>35</v>
      </c>
    </row>
    <row r="8" customFormat="false" ht="15" hidden="false" customHeight="false" outlineLevel="0" collapsed="false">
      <c r="A8" s="0" t="s">
        <v>1518</v>
      </c>
      <c r="B8" s="0" t="s">
        <v>1519</v>
      </c>
      <c r="C8" s="2" t="s">
        <v>1518</v>
      </c>
      <c r="D8" s="3" t="s">
        <v>1520</v>
      </c>
      <c r="E8" s="3" t="s">
        <v>1521</v>
      </c>
      <c r="F8" s="3" t="s">
        <v>1522</v>
      </c>
      <c r="G8" s="3" t="s">
        <v>1518</v>
      </c>
      <c r="H8" s="3" t="s">
        <v>1523</v>
      </c>
      <c r="I8" s="3" t="s">
        <v>1524</v>
      </c>
      <c r="K8" s="3" t="s">
        <v>1490</v>
      </c>
    </row>
    <row r="9" customFormat="false" ht="15" hidden="false" customHeight="false" outlineLevel="0" collapsed="false">
      <c r="A9" s="0" t="s">
        <v>1525</v>
      </c>
      <c r="B9" s="0" t="s">
        <v>1526</v>
      </c>
      <c r="C9" s="2" t="s">
        <v>1525</v>
      </c>
      <c r="D9" s="3" t="s">
        <v>1527</v>
      </c>
      <c r="E9" s="3" t="s">
        <v>1528</v>
      </c>
      <c r="F9" s="3" t="s">
        <v>1529</v>
      </c>
      <c r="G9" s="3" t="s">
        <v>1525</v>
      </c>
      <c r="K9" s="3" t="s">
        <v>1490</v>
      </c>
      <c r="L9" s="3" t="s">
        <v>35</v>
      </c>
    </row>
    <row r="10" customFormat="false" ht="15" hidden="false" customHeight="false" outlineLevel="0" collapsed="false">
      <c r="A10" s="0" t="s">
        <v>1530</v>
      </c>
      <c r="B10" s="0" t="s">
        <v>1531</v>
      </c>
      <c r="C10" s="2" t="s">
        <v>1530</v>
      </c>
      <c r="D10" s="3" t="s">
        <v>1520</v>
      </c>
      <c r="E10" s="3" t="s">
        <v>1521</v>
      </c>
      <c r="F10" s="3" t="s">
        <v>1532</v>
      </c>
      <c r="G10" s="3" t="s">
        <v>1530</v>
      </c>
      <c r="K10" s="3" t="s">
        <v>1490</v>
      </c>
    </row>
    <row r="11" customFormat="false" ht="15" hidden="false" customHeight="false" outlineLevel="0" collapsed="false">
      <c r="A11" s="0" t="s">
        <v>1533</v>
      </c>
      <c r="B11" s="0" t="s">
        <v>1534</v>
      </c>
      <c r="C11" s="2" t="s">
        <v>1533</v>
      </c>
      <c r="D11" s="3" t="s">
        <v>1535</v>
      </c>
      <c r="E11" s="3" t="s">
        <v>1536</v>
      </c>
      <c r="F11" s="3" t="s">
        <v>1537</v>
      </c>
      <c r="G11" s="3" t="s">
        <v>1533</v>
      </c>
      <c r="K11" s="3" t="s">
        <v>1490</v>
      </c>
      <c r="L11" s="3" t="s">
        <v>35</v>
      </c>
    </row>
    <row r="12" customFormat="false" ht="15" hidden="false" customHeight="false" outlineLevel="0" collapsed="false">
      <c r="A12" s="0" t="s">
        <v>1538</v>
      </c>
      <c r="B12" s="0" t="s">
        <v>1539</v>
      </c>
      <c r="C12" s="2" t="s">
        <v>1538</v>
      </c>
      <c r="D12" s="3" t="s">
        <v>1535</v>
      </c>
      <c r="E12" s="3" t="s">
        <v>1536</v>
      </c>
      <c r="F12" s="3" t="s">
        <v>1540</v>
      </c>
      <c r="G12" s="3" t="s">
        <v>1538</v>
      </c>
      <c r="K12" s="3" t="s">
        <v>1490</v>
      </c>
      <c r="L12" s="3" t="s">
        <v>35</v>
      </c>
    </row>
    <row r="13" customFormat="false" ht="15" hidden="false" customHeight="false" outlineLevel="0" collapsed="false">
      <c r="A13" s="0" t="s">
        <v>1541</v>
      </c>
      <c r="B13" s="0" t="s">
        <v>1542</v>
      </c>
      <c r="C13" s="2"/>
      <c r="D13" s="3" t="s">
        <v>1515</v>
      </c>
      <c r="E13" s="3" t="s">
        <v>1516</v>
      </c>
      <c r="F13" s="3" t="s">
        <v>1543</v>
      </c>
      <c r="G13" s="3" t="s">
        <v>1541</v>
      </c>
      <c r="K13" s="3" t="s">
        <v>1490</v>
      </c>
    </row>
    <row r="14" customFormat="false" ht="15" hidden="false" customHeight="false" outlineLevel="0" collapsed="false">
      <c r="A14" s="0" t="s">
        <v>1544</v>
      </c>
      <c r="B14" s="0" t="s">
        <v>1545</v>
      </c>
      <c r="C14" s="2" t="s">
        <v>1546</v>
      </c>
      <c r="D14" s="3" t="s">
        <v>1547</v>
      </c>
      <c r="E14" s="3" t="s">
        <v>1546</v>
      </c>
      <c r="F14" s="3" t="s">
        <v>1548</v>
      </c>
      <c r="G14" s="3" t="s">
        <v>1546</v>
      </c>
      <c r="K14" s="3" t="s">
        <v>1490</v>
      </c>
    </row>
    <row r="15" customFormat="false" ht="15" hidden="false" customHeight="false" outlineLevel="0" collapsed="false">
      <c r="A15" s="0" t="s">
        <v>1549</v>
      </c>
      <c r="B15" s="0" t="s">
        <v>1550</v>
      </c>
      <c r="C15" s="2" t="s">
        <v>1549</v>
      </c>
      <c r="D15" s="3" t="s">
        <v>1551</v>
      </c>
      <c r="E15" s="3" t="s">
        <v>1549</v>
      </c>
      <c r="F15" s="3" t="s">
        <v>1552</v>
      </c>
      <c r="G15" s="3" t="s">
        <v>1549</v>
      </c>
      <c r="K15" s="3" t="s">
        <v>1490</v>
      </c>
    </row>
    <row r="16" customFormat="false" ht="15" hidden="false" customHeight="false" outlineLevel="0" collapsed="false">
      <c r="A16" s="0" t="s">
        <v>1553</v>
      </c>
      <c r="B16" s="0" t="s">
        <v>1554</v>
      </c>
      <c r="C16" s="2" t="s">
        <v>1555</v>
      </c>
      <c r="D16" s="3" t="s">
        <v>1556</v>
      </c>
      <c r="E16" s="3" t="s">
        <v>1553</v>
      </c>
      <c r="F16" s="3" t="s">
        <v>1557</v>
      </c>
      <c r="G16" s="3" t="s">
        <v>1553</v>
      </c>
      <c r="K16" s="3" t="s">
        <v>1490</v>
      </c>
      <c r="L16" s="3" t="s">
        <v>35</v>
      </c>
    </row>
    <row r="17" customFormat="false" ht="15" hidden="false" customHeight="false" outlineLevel="0" collapsed="false">
      <c r="A17" s="0" t="s">
        <v>1558</v>
      </c>
      <c r="B17" s="0" t="s">
        <v>1559</v>
      </c>
      <c r="C17" s="2" t="s">
        <v>1560</v>
      </c>
      <c r="D17" s="3" t="s">
        <v>1561</v>
      </c>
      <c r="E17" s="3" t="s">
        <v>1558</v>
      </c>
      <c r="F17" s="3" t="s">
        <v>1562</v>
      </c>
      <c r="G17" s="3" t="s">
        <v>1563</v>
      </c>
      <c r="K17" s="3" t="s">
        <v>1490</v>
      </c>
      <c r="L17" s="3" t="s">
        <v>35</v>
      </c>
    </row>
    <row r="18" customFormat="false" ht="15" hidden="false" customHeight="false" outlineLevel="0" collapsed="false">
      <c r="A18" s="0" t="s">
        <v>1564</v>
      </c>
      <c r="B18" s="0" t="s">
        <v>1565</v>
      </c>
      <c r="C18" s="2" t="s">
        <v>1564</v>
      </c>
      <c r="D18" s="3" t="s">
        <v>1487</v>
      </c>
      <c r="E18" s="3" t="s">
        <v>1488</v>
      </c>
      <c r="F18" s="3" t="s">
        <v>1566</v>
      </c>
      <c r="G18" s="3" t="s">
        <v>1564</v>
      </c>
      <c r="K18" s="3" t="s">
        <v>1490</v>
      </c>
      <c r="L18" s="3" t="s">
        <v>35</v>
      </c>
    </row>
    <row r="19" customFormat="false" ht="15" hidden="false" customHeight="false" outlineLevel="0" collapsed="false">
      <c r="A19" s="0" t="s">
        <v>1567</v>
      </c>
      <c r="B19" s="0" t="s">
        <v>1568</v>
      </c>
      <c r="C19" s="2" t="s">
        <v>1569</v>
      </c>
      <c r="D19" s="3" t="s">
        <v>1570</v>
      </c>
      <c r="E19" s="3" t="s">
        <v>1567</v>
      </c>
      <c r="F19" s="3" t="s">
        <v>1571</v>
      </c>
      <c r="G19" s="3" t="s">
        <v>1567</v>
      </c>
      <c r="K19" s="3" t="s">
        <v>1490</v>
      </c>
      <c r="L19" s="3" t="s">
        <v>35</v>
      </c>
    </row>
    <row r="20" customFormat="false" ht="15" hidden="false" customHeight="false" outlineLevel="0" collapsed="false">
      <c r="A20" s="0" t="s">
        <v>1572</v>
      </c>
      <c r="B20" s="0" t="s">
        <v>1559</v>
      </c>
      <c r="C20" s="2" t="s">
        <v>1573</v>
      </c>
      <c r="D20" s="3" t="s">
        <v>1561</v>
      </c>
      <c r="E20" s="3" t="s">
        <v>1558</v>
      </c>
      <c r="F20" s="3" t="s">
        <v>1574</v>
      </c>
      <c r="G20" s="3" t="s">
        <v>1575</v>
      </c>
      <c r="K20" s="3" t="s">
        <v>1490</v>
      </c>
      <c r="L20" s="3" t="s">
        <v>35</v>
      </c>
    </row>
    <row r="21" customFormat="false" ht="15" hidden="false" customHeight="false" outlineLevel="0" collapsed="false">
      <c r="A21" s="0" t="s">
        <v>1576</v>
      </c>
      <c r="B21" s="0" t="s">
        <v>1577</v>
      </c>
      <c r="C21" s="2" t="s">
        <v>1576</v>
      </c>
      <c r="D21" s="3" t="s">
        <v>1508</v>
      </c>
      <c r="E21" s="3" t="s">
        <v>1509</v>
      </c>
      <c r="F21" s="3" t="s">
        <v>1578</v>
      </c>
      <c r="G21" s="3" t="s">
        <v>1576</v>
      </c>
      <c r="K21" s="3" t="s">
        <v>1490</v>
      </c>
      <c r="L21" s="3" t="s">
        <v>35</v>
      </c>
    </row>
    <row r="22" customFormat="false" ht="15" hidden="false" customHeight="false" outlineLevel="0" collapsed="false">
      <c r="A22" s="0" t="s">
        <v>1579</v>
      </c>
      <c r="B22" s="0" t="s">
        <v>1580</v>
      </c>
      <c r="C22" s="2" t="s">
        <v>1579</v>
      </c>
      <c r="D22" s="3" t="s">
        <v>1497</v>
      </c>
      <c r="E22" s="3" t="s">
        <v>1498</v>
      </c>
      <c r="F22" s="3" t="s">
        <v>1581</v>
      </c>
      <c r="G22" s="3" t="s">
        <v>1579</v>
      </c>
      <c r="K22" s="3" t="s">
        <v>1490</v>
      </c>
      <c r="L22" s="3" t="s">
        <v>35</v>
      </c>
    </row>
    <row r="23" customFormat="false" ht="15" hidden="false" customHeight="false" outlineLevel="0" collapsed="false">
      <c r="A23" s="0" t="s">
        <v>1582</v>
      </c>
      <c r="B23" s="0" t="s">
        <v>1583</v>
      </c>
      <c r="C23" s="2" t="s">
        <v>1582</v>
      </c>
      <c r="D23" s="3" t="s">
        <v>1503</v>
      </c>
      <c r="E23" s="3" t="s">
        <v>1504</v>
      </c>
      <c r="F23" s="3" t="s">
        <v>1584</v>
      </c>
      <c r="G23" s="3" t="s">
        <v>1582</v>
      </c>
      <c r="K23" s="3" t="s">
        <v>1490</v>
      </c>
      <c r="L23" s="3" t="s">
        <v>35</v>
      </c>
    </row>
    <row r="24" customFormat="false" ht="15" hidden="false" customHeight="false" outlineLevel="0" collapsed="false">
      <c r="A24" s="0" t="s">
        <v>1585</v>
      </c>
      <c r="B24" s="0" t="s">
        <v>1586</v>
      </c>
      <c r="C24" s="2" t="s">
        <v>1585</v>
      </c>
      <c r="D24" s="3" t="s">
        <v>1508</v>
      </c>
      <c r="E24" s="3" t="s">
        <v>1509</v>
      </c>
      <c r="F24" s="3" t="s">
        <v>1587</v>
      </c>
      <c r="G24" s="3" t="s">
        <v>1585</v>
      </c>
      <c r="K24" s="3" t="s">
        <v>1490</v>
      </c>
      <c r="L24" s="3" t="s">
        <v>35</v>
      </c>
    </row>
    <row r="25" customFormat="false" ht="15" hidden="false" customHeight="false" outlineLevel="0" collapsed="false">
      <c r="A25" s="0" t="s">
        <v>1588</v>
      </c>
      <c r="B25" s="0" t="s">
        <v>1589</v>
      </c>
      <c r="C25" s="2" t="s">
        <v>1588</v>
      </c>
      <c r="D25" s="3" t="s">
        <v>1497</v>
      </c>
      <c r="E25" s="3" t="s">
        <v>1498</v>
      </c>
      <c r="F25" s="3" t="s">
        <v>1590</v>
      </c>
      <c r="G25" s="3" t="s">
        <v>1588</v>
      </c>
      <c r="K25" s="3" t="s">
        <v>1490</v>
      </c>
      <c r="L25" s="3" t="s">
        <v>35</v>
      </c>
    </row>
    <row r="26" customFormat="false" ht="15" hidden="false" customHeight="false" outlineLevel="0" collapsed="false">
      <c r="A26" s="0" t="s">
        <v>1591</v>
      </c>
      <c r="B26" s="0" t="s">
        <v>1592</v>
      </c>
      <c r="C26" s="2" t="s">
        <v>1591</v>
      </c>
      <c r="D26" s="3" t="s">
        <v>1593</v>
      </c>
      <c r="E26" s="3" t="s">
        <v>1594</v>
      </c>
      <c r="F26" s="3" t="s">
        <v>1595</v>
      </c>
      <c r="G26" s="3" t="s">
        <v>1591</v>
      </c>
      <c r="K26" s="3" t="s">
        <v>1490</v>
      </c>
      <c r="L26" s="3" t="s">
        <v>35</v>
      </c>
    </row>
    <row r="27" customFormat="false" ht="15" hidden="false" customHeight="false" outlineLevel="0" collapsed="false">
      <c r="A27" s="0" t="s">
        <v>1596</v>
      </c>
      <c r="B27" s="0" t="s">
        <v>1597</v>
      </c>
      <c r="C27" s="2" t="s">
        <v>1596</v>
      </c>
      <c r="D27" s="3" t="s">
        <v>1520</v>
      </c>
      <c r="E27" s="2" t="s">
        <v>1521</v>
      </c>
      <c r="F27" s="3" t="s">
        <v>1499</v>
      </c>
      <c r="G27" s="3" t="s">
        <v>1598</v>
      </c>
      <c r="K27" s="3" t="s">
        <v>1490</v>
      </c>
      <c r="L27" s="3" t="s">
        <v>35</v>
      </c>
    </row>
    <row r="28" customFormat="false" ht="15" hidden="false" customHeight="false" outlineLevel="0" collapsed="false">
      <c r="A28" s="0" t="s">
        <v>1599</v>
      </c>
      <c r="B28" s="0" t="s">
        <v>1600</v>
      </c>
      <c r="C28" s="0" t="s">
        <v>1599</v>
      </c>
      <c r="D28" s="0" t="s">
        <v>1497</v>
      </c>
      <c r="E28" s="2" t="s">
        <v>1498</v>
      </c>
      <c r="F28" s="3" t="s">
        <v>1601</v>
      </c>
      <c r="G28" s="3" t="s">
        <v>1602</v>
      </c>
      <c r="J28" s="3" t="s">
        <v>1603</v>
      </c>
      <c r="K28" s="3" t="s">
        <v>1490</v>
      </c>
      <c r="L28" s="3" t="s">
        <v>35</v>
      </c>
    </row>
    <row r="29" customFormat="false" ht="15" hidden="false" customHeight="false" outlineLevel="0" collapsed="false">
      <c r="A29" s="0" t="s">
        <v>1604</v>
      </c>
      <c r="B29" s="0" t="s">
        <v>1605</v>
      </c>
      <c r="C29" s="0" t="s">
        <v>1604</v>
      </c>
      <c r="D29" s="0" t="s">
        <v>1520</v>
      </c>
      <c r="E29" s="2" t="s">
        <v>1521</v>
      </c>
      <c r="F29" s="3" t="s">
        <v>1601</v>
      </c>
      <c r="G29" s="3" t="s">
        <v>1606</v>
      </c>
      <c r="J29" s="3" t="s">
        <v>1603</v>
      </c>
      <c r="K29" s="3" t="s">
        <v>1490</v>
      </c>
      <c r="L29" s="3" t="s">
        <v>35</v>
      </c>
    </row>
    <row r="30" customFormat="false" ht="15" hidden="false" customHeight="false" outlineLevel="0" collapsed="false">
      <c r="A30" s="0" t="s">
        <v>1607</v>
      </c>
      <c r="B30" s="0" t="s">
        <v>1608</v>
      </c>
      <c r="C30" s="0" t="str">
        <f aca="false">Таблица9[[#This Row],[Part Number]]</f>
        <v>PBS-4</v>
      </c>
      <c r="D30" s="0" t="s">
        <v>1497</v>
      </c>
      <c r="E30" s="2" t="s">
        <v>1498</v>
      </c>
      <c r="F30" s="3" t="s">
        <v>1609</v>
      </c>
      <c r="G30" s="3" t="s">
        <v>1610</v>
      </c>
      <c r="J30" s="3" t="s">
        <v>1611</v>
      </c>
      <c r="K30" s="3" t="s">
        <v>1490</v>
      </c>
      <c r="L30" s="3" t="s">
        <v>35</v>
      </c>
    </row>
    <row r="31" customFormat="false" ht="15" hidden="false" customHeight="false" outlineLevel="0" collapsed="false">
      <c r="A31" s="0" t="s">
        <v>1612</v>
      </c>
      <c r="B31" s="0" t="s">
        <v>1608</v>
      </c>
      <c r="C31" s="0" t="str">
        <f aca="false">Таблица9[[#This Row],[Part Number]]</f>
        <v>PBS-2</v>
      </c>
      <c r="D31" s="0" t="s">
        <v>1520</v>
      </c>
      <c r="E31" s="2" t="s">
        <v>1521</v>
      </c>
      <c r="F31" s="3" t="s">
        <v>1609</v>
      </c>
      <c r="G31" s="3" t="s">
        <v>1613</v>
      </c>
      <c r="J31" s="3" t="s">
        <v>1611</v>
      </c>
      <c r="K31" s="3" t="s">
        <v>1490</v>
      </c>
      <c r="L31" s="3" t="s">
        <v>35</v>
      </c>
    </row>
    <row r="32" customFormat="false" ht="15" hidden="false" customHeight="false" outlineLevel="0" collapsed="false">
      <c r="A32" s="0" t="s">
        <v>1614</v>
      </c>
      <c r="B32" s="0" t="s">
        <v>1514</v>
      </c>
      <c r="C32" s="0" t="s">
        <v>1614</v>
      </c>
      <c r="D32" s="0" t="s">
        <v>1520</v>
      </c>
      <c r="E32" s="2" t="s">
        <v>1521</v>
      </c>
      <c r="F32" s="3" t="s">
        <v>1615</v>
      </c>
      <c r="G32" s="3" t="s">
        <v>1614</v>
      </c>
      <c r="J32" s="3" t="s">
        <v>1616</v>
      </c>
      <c r="K32" s="3" t="s">
        <v>1490</v>
      </c>
      <c r="L32" s="3" t="s">
        <v>35</v>
      </c>
    </row>
    <row r="33" customFormat="false" ht="15" hidden="false" customHeight="false" outlineLevel="0" collapsed="false">
      <c r="A33" s="0" t="s">
        <v>1617</v>
      </c>
      <c r="B33" s="0" t="s">
        <v>1618</v>
      </c>
      <c r="C33" s="0" t="s">
        <v>1617</v>
      </c>
      <c r="D33" s="0" t="s">
        <v>1503</v>
      </c>
      <c r="E33" s="2" t="s">
        <v>1504</v>
      </c>
      <c r="F33" s="3" t="s">
        <v>1499</v>
      </c>
      <c r="G33" s="3" t="s">
        <v>1619</v>
      </c>
      <c r="J33" s="3" t="s">
        <v>1620</v>
      </c>
      <c r="K33" s="3" t="s">
        <v>1490</v>
      </c>
      <c r="L33" s="3" t="s">
        <v>35</v>
      </c>
    </row>
    <row r="34" customFormat="false" ht="15" hidden="false" customHeight="false" outlineLevel="0" collapsed="false">
      <c r="A34" s="0" t="s">
        <v>1621</v>
      </c>
      <c r="B34" s="0" t="s">
        <v>1622</v>
      </c>
      <c r="C34" s="0" t="s">
        <v>1621</v>
      </c>
      <c r="D34" s="0" t="s">
        <v>1623</v>
      </c>
      <c r="E34" s="2" t="s">
        <v>1624</v>
      </c>
      <c r="F34" s="3" t="s">
        <v>1625</v>
      </c>
      <c r="G34" s="3" t="s">
        <v>1626</v>
      </c>
      <c r="J34" s="3" t="s">
        <v>1611</v>
      </c>
      <c r="K34" s="3" t="s">
        <v>1490</v>
      </c>
      <c r="L34" s="3" t="s">
        <v>35</v>
      </c>
    </row>
    <row r="35" customFormat="false" ht="16.4" hidden="false" customHeight="false" outlineLevel="0" collapsed="false">
      <c r="A35" s="0" t="s">
        <v>1627</v>
      </c>
      <c r="B35" s="0" t="s">
        <v>1622</v>
      </c>
      <c r="C35" s="0" t="s">
        <v>1627</v>
      </c>
      <c r="D35" s="0" t="s">
        <v>1623</v>
      </c>
      <c r="E35" s="2" t="s">
        <v>1624</v>
      </c>
      <c r="F35" s="3" t="s">
        <v>1628</v>
      </c>
      <c r="G35" s="3" t="s">
        <v>1629</v>
      </c>
      <c r="J35" s="11" t="s">
        <v>1620</v>
      </c>
      <c r="K35" s="3" t="s">
        <v>1490</v>
      </c>
      <c r="L35" s="3" t="s">
        <v>35</v>
      </c>
    </row>
    <row r="36" customFormat="false" ht="15" hidden="false" customHeight="false" outlineLevel="0" collapsed="false">
      <c r="A36" s="0" t="s">
        <v>1630</v>
      </c>
      <c r="B36" s="0" t="s">
        <v>1631</v>
      </c>
      <c r="C36" s="2" t="s">
        <v>1632</v>
      </c>
      <c r="D36" s="3" t="s">
        <v>1633</v>
      </c>
      <c r="E36" s="3" t="s">
        <v>1634</v>
      </c>
      <c r="F36" s="3" t="s">
        <v>1635</v>
      </c>
      <c r="G36" s="3" t="s">
        <v>1630</v>
      </c>
      <c r="J36" s="3" t="s">
        <v>1636</v>
      </c>
      <c r="K36" s="3" t="s">
        <v>1490</v>
      </c>
      <c r="L36" s="3" t="s">
        <v>35</v>
      </c>
    </row>
    <row r="37" customFormat="false" ht="15" hidden="false" customHeight="false" outlineLevel="0" collapsed="false">
      <c r="A37" s="0" t="s">
        <v>1637</v>
      </c>
      <c r="B37" s="0" t="s">
        <v>1638</v>
      </c>
      <c r="C37" s="2" t="s">
        <v>1637</v>
      </c>
      <c r="D37" s="3" t="s">
        <v>1508</v>
      </c>
      <c r="E37" s="2" t="s">
        <v>1509</v>
      </c>
      <c r="F37" s="3" t="s">
        <v>1499</v>
      </c>
      <c r="G37" s="3" t="s">
        <v>1639</v>
      </c>
      <c r="J37" s="3" t="s">
        <v>1620</v>
      </c>
      <c r="K37" s="3" t="s">
        <v>1490</v>
      </c>
      <c r="L37" s="3" t="s">
        <v>35</v>
      </c>
    </row>
    <row r="38" customFormat="false" ht="15" hidden="false" customHeight="false" outlineLevel="0" collapsed="false">
      <c r="A38" s="0" t="s">
        <v>1640</v>
      </c>
      <c r="B38" s="0" t="s">
        <v>1641</v>
      </c>
      <c r="C38" s="2" t="s">
        <v>1640</v>
      </c>
      <c r="D38" s="3" t="s">
        <v>1642</v>
      </c>
      <c r="E38" s="3" t="s">
        <v>1640</v>
      </c>
      <c r="F38" s="3" t="s">
        <v>1643</v>
      </c>
      <c r="G38" s="3" t="s">
        <v>1640</v>
      </c>
      <c r="K38" s="3" t="s">
        <v>1490</v>
      </c>
    </row>
    <row r="39" customFormat="false" ht="15" hidden="false" customHeight="false" outlineLevel="0" collapsed="false">
      <c r="A39" s="0" t="s">
        <v>1644</v>
      </c>
      <c r="B39" s="0" t="s">
        <v>1645</v>
      </c>
      <c r="C39" s="2" t="s">
        <v>1644</v>
      </c>
      <c r="D39" s="3" t="s">
        <v>1646</v>
      </c>
      <c r="E39" s="3" t="s">
        <v>1644</v>
      </c>
      <c r="F39" s="3" t="s">
        <v>1647</v>
      </c>
      <c r="G39" s="3" t="s">
        <v>1644</v>
      </c>
      <c r="K39" s="3" t="s">
        <v>1490</v>
      </c>
    </row>
    <row r="40" customFormat="false" ht="15" hidden="false" customHeight="false" outlineLevel="0" collapsed="false">
      <c r="A40" s="0" t="s">
        <v>1648</v>
      </c>
      <c r="B40" s="0" t="s">
        <v>1649</v>
      </c>
      <c r="C40" s="0" t="s">
        <v>1648</v>
      </c>
      <c r="D40" s="0" t="s">
        <v>1650</v>
      </c>
      <c r="E40" s="0" t="s">
        <v>1651</v>
      </c>
      <c r="F40" s="0" t="s">
        <v>1652</v>
      </c>
      <c r="G40" s="0" t="s">
        <v>1653</v>
      </c>
      <c r="H40" s="0" t="s">
        <v>1654</v>
      </c>
      <c r="I40" s="0" t="s">
        <v>1648</v>
      </c>
      <c r="J40" s="0" t="s">
        <v>1655</v>
      </c>
      <c r="K40" s="0" t="s">
        <v>1490</v>
      </c>
      <c r="L40" s="0" t="s">
        <v>35</v>
      </c>
    </row>
    <row r="41" customFormat="false" ht="15" hidden="false" customHeight="false" outlineLevel="0" collapsed="false">
      <c r="A41" s="0" t="s">
        <v>1656</v>
      </c>
      <c r="B41" s="0" t="s">
        <v>1657</v>
      </c>
      <c r="C41" s="2" t="s">
        <v>1658</v>
      </c>
      <c r="D41" s="3" t="s">
        <v>1659</v>
      </c>
      <c r="E41" s="3" t="s">
        <v>1660</v>
      </c>
      <c r="F41" s="3" t="s">
        <v>1661</v>
      </c>
      <c r="G41" s="3" t="s">
        <v>1662</v>
      </c>
      <c r="K41" s="3" t="s">
        <v>1490</v>
      </c>
    </row>
    <row r="42" customFormat="false" ht="15" hidden="false" customHeight="false" outlineLevel="0" collapsed="false">
      <c r="A42" s="2" t="s">
        <v>1663</v>
      </c>
      <c r="B42" s="3" t="s">
        <v>1664</v>
      </c>
      <c r="C42" s="2" t="str">
        <f aca="false">A42</f>
        <v>DF12(3.0)-32DP</v>
      </c>
      <c r="D42" s="3" t="str">
        <f aca="false">CONCATENATE("Schematic\Connectors\", E42, ".SchLib")</f>
        <v>Schematic\Connectors\Conn_32pin.SchLib</v>
      </c>
      <c r="E42" s="3" t="s">
        <v>1665</v>
      </c>
      <c r="F42" s="3" t="str">
        <f aca="false">CONCATENATE("Footprints\Connectors\", G42, ".PcbLib")</f>
        <v>Footprints\Connectors\DF12(3.0)-32DP.PcbLib</v>
      </c>
      <c r="G42" s="3" t="s">
        <v>1663</v>
      </c>
      <c r="K42" s="3" t="s">
        <v>1490</v>
      </c>
      <c r="L42" s="3" t="s">
        <v>146</v>
      </c>
    </row>
    <row r="43" customFormat="false" ht="15" hidden="false" customHeight="false" outlineLevel="0" collapsed="false">
      <c r="A43" s="2" t="s">
        <v>1666</v>
      </c>
      <c r="B43" s="3" t="s">
        <v>1667</v>
      </c>
      <c r="C43" s="2" t="str">
        <f aca="false">A43</f>
        <v>DF12(3.0)-32DS</v>
      </c>
      <c r="D43" s="3" t="str">
        <f aca="false">CONCATENATE("Schematic\Connectors\", E43, ".SchLib")</f>
        <v>Schematic\Connectors\Conn_32pin.SchLib</v>
      </c>
      <c r="E43" s="3" t="s">
        <v>1665</v>
      </c>
      <c r="F43" s="3" t="str">
        <f aca="false">CONCATENATE("Footprints\Connectors\", G43, ".PcbLib")</f>
        <v>Footprints\Connectors\DF12(3.0)-32DS.PcbLib</v>
      </c>
      <c r="G43" s="3" t="s">
        <v>1666</v>
      </c>
      <c r="K43" s="3" t="s">
        <v>1490</v>
      </c>
      <c r="L43" s="3" t="s">
        <v>146</v>
      </c>
    </row>
    <row r="44" customFormat="false" ht="15" hidden="false" customHeight="false" outlineLevel="0" collapsed="false">
      <c r="A44" s="0" t="s">
        <v>1668</v>
      </c>
      <c r="B44" s="0" t="s">
        <v>1669</v>
      </c>
      <c r="C44" s="2" t="str">
        <f aca="false">A44</f>
        <v>DF40C-50DP</v>
      </c>
      <c r="D44" s="3" t="str">
        <f aca="false">CONCATENATE("Schematic\Connectors\", E44, ".SchLib")</f>
        <v>Schematic\Connectors\Conn_50pin_double.SchLib</v>
      </c>
      <c r="E44" s="3" t="s">
        <v>1670</v>
      </c>
      <c r="F44" s="3" t="str">
        <f aca="false">CONCATENATE("Footprints\Connectors\", G44, ".PcbLib")</f>
        <v>Footprints\Connectors\DF40C-50DP.PcbLib</v>
      </c>
      <c r="G44" s="3" t="s">
        <v>1668</v>
      </c>
      <c r="K44" s="3" t="s">
        <v>1490</v>
      </c>
      <c r="L44" s="3" t="s">
        <v>146</v>
      </c>
    </row>
    <row r="45" customFormat="false" ht="15" hidden="false" customHeight="false" outlineLevel="0" collapsed="false">
      <c r="A45" s="0" t="s">
        <v>1671</v>
      </c>
      <c r="B45" s="0" t="s">
        <v>1672</v>
      </c>
      <c r="C45" s="2" t="str">
        <f aca="false">A45</f>
        <v>DF40C-50DS</v>
      </c>
      <c r="D45" s="3" t="str">
        <f aca="false">CONCATENATE("Schematic\Connectors\", E45, ".SchLib")</f>
        <v>Schematic\Connectors\Conn_50pin_double.SchLib</v>
      </c>
      <c r="E45" s="3" t="s">
        <v>1670</v>
      </c>
      <c r="F45" s="3" t="str">
        <f aca="false">CONCATENATE("Footprints\Connectors\", G45, ".PcbLib")</f>
        <v>Footprints\Connectors\DF40C-50DS.PcbLib</v>
      </c>
      <c r="G45" s="3" t="s">
        <v>1671</v>
      </c>
      <c r="K45" s="3" t="s">
        <v>1490</v>
      </c>
      <c r="L45" s="3" t="s">
        <v>146</v>
      </c>
    </row>
    <row r="46" customFormat="false" ht="15" hidden="false" customHeight="false" outlineLevel="0" collapsed="false">
      <c r="A46" s="0" t="s">
        <v>1673</v>
      </c>
      <c r="B46" s="0" t="s">
        <v>1672</v>
      </c>
      <c r="C46" s="2" t="str">
        <f aca="false">A46</f>
        <v>DF40HC(4.0)-50DS</v>
      </c>
      <c r="D46" s="3" t="str">
        <f aca="false">CONCATENATE("Schematic\Connectors\", E46, ".SchLib")</f>
        <v>Schematic\Connectors\Conn_50pin_double.SchLib</v>
      </c>
      <c r="E46" s="3" t="s">
        <v>1670</v>
      </c>
      <c r="F46" s="3" t="str">
        <f aca="false">CONCATENATE("Footprints\Connectors\", G46, ".PcbLib")</f>
        <v>Footprints\Connectors\DF40HC(4.0)-50DS.PcbLib</v>
      </c>
      <c r="G46" s="3" t="s">
        <v>1673</v>
      </c>
      <c r="K46" s="3" t="s">
        <v>1490</v>
      </c>
      <c r="L46" s="3" t="s">
        <v>146</v>
      </c>
    </row>
    <row r="47" customFormat="false" ht="15" hidden="false" customHeight="false" outlineLevel="0" collapsed="false">
      <c r="A47" s="0" t="s">
        <v>1674</v>
      </c>
      <c r="B47" s="0" t="s">
        <v>1675</v>
      </c>
      <c r="C47" s="2" t="str">
        <f aca="false">A47</f>
        <v>PLS-6</v>
      </c>
      <c r="D47" s="3" t="str">
        <f aca="false">CONCATENATE("Schematic\Connectors\", E47, ".SchLib")</f>
        <v>Schematic\Connectors\Conn_6pin.SchLib</v>
      </c>
      <c r="E47" s="3" t="s">
        <v>1676</v>
      </c>
      <c r="F47" s="3" t="s">
        <v>1499</v>
      </c>
      <c r="G47" s="3" t="s">
        <v>1677</v>
      </c>
      <c r="K47" s="3" t="s">
        <v>1490</v>
      </c>
      <c r="L47" s="3" t="s">
        <v>146</v>
      </c>
    </row>
    <row r="48" customFormat="false" ht="15" hidden="false" customHeight="false" outlineLevel="0" collapsed="false">
      <c r="A48" s="0" t="s">
        <v>1678</v>
      </c>
      <c r="B48" s="0" t="s">
        <v>1679</v>
      </c>
      <c r="C48" s="2" t="s">
        <v>1678</v>
      </c>
      <c r="D48" s="3" t="s">
        <v>1508</v>
      </c>
      <c r="E48" s="2" t="s">
        <v>1509</v>
      </c>
      <c r="F48" s="3" t="s">
        <v>1680</v>
      </c>
      <c r="G48" s="3" t="s">
        <v>1678</v>
      </c>
      <c r="K48" s="3" t="s">
        <v>1490</v>
      </c>
      <c r="L48" s="3" t="s">
        <v>146</v>
      </c>
    </row>
    <row r="49" customFormat="false" ht="15" hidden="false" customHeight="false" outlineLevel="0" collapsed="false">
      <c r="A49" s="0" t="s">
        <v>1681</v>
      </c>
      <c r="B49" s="0" t="s">
        <v>1682</v>
      </c>
      <c r="C49" s="2" t="s">
        <v>1681</v>
      </c>
      <c r="D49" s="3" t="s">
        <v>1515</v>
      </c>
      <c r="E49" s="2" t="s">
        <v>1516</v>
      </c>
      <c r="F49" s="3" t="s">
        <v>1683</v>
      </c>
      <c r="G49" s="3" t="s">
        <v>1681</v>
      </c>
      <c r="K49" s="3" t="s">
        <v>1490</v>
      </c>
      <c r="L49" s="3" t="s">
        <v>146</v>
      </c>
    </row>
    <row r="50" customFormat="false" ht="15" hidden="false" customHeight="false" outlineLevel="0" collapsed="false">
      <c r="A50" s="0" t="s">
        <v>1684</v>
      </c>
      <c r="B50" s="0" t="s">
        <v>1685</v>
      </c>
      <c r="C50" s="2" t="s">
        <v>1684</v>
      </c>
      <c r="D50" s="3" t="s">
        <v>1623</v>
      </c>
      <c r="E50" s="2" t="s">
        <v>1624</v>
      </c>
      <c r="F50" s="3" t="s">
        <v>1686</v>
      </c>
      <c r="G50" s="3" t="s">
        <v>1684</v>
      </c>
      <c r="K50" s="3" t="s">
        <v>1490</v>
      </c>
      <c r="L50" s="3" t="s">
        <v>146</v>
      </c>
    </row>
    <row r="51" customFormat="false" ht="15" hidden="false" customHeight="false" outlineLevel="0" collapsed="false">
      <c r="A51" s="0" t="s">
        <v>1687</v>
      </c>
      <c r="B51" s="0" t="s">
        <v>1688</v>
      </c>
      <c r="C51" s="2" t="str">
        <f aca="false">A51</f>
        <v>DF40C-40DP</v>
      </c>
      <c r="D51" s="3" t="str">
        <f aca="false">CONCATENATE("Schematic\Connectors\", E51, ".SchLib")</f>
        <v>Schematic\Connectors\Conn_40pin_double.SchLib</v>
      </c>
      <c r="E51" s="3" t="s">
        <v>1624</v>
      </c>
      <c r="F51" s="3" t="str">
        <f aca="false">CONCATENATE("Footprints\Connectors\", G51, ".PcbLib")</f>
        <v>Footprints\Connectors\DF40C-40DP.PcbLib</v>
      </c>
      <c r="G51" s="3" t="s">
        <v>1687</v>
      </c>
      <c r="K51" s="3" t="s">
        <v>1490</v>
      </c>
      <c r="L51" s="3" t="s">
        <v>146</v>
      </c>
    </row>
    <row r="52" customFormat="false" ht="15" hidden="false" customHeight="false" outlineLevel="0" collapsed="false">
      <c r="A52" s="0" t="s">
        <v>1689</v>
      </c>
      <c r="B52" s="0" t="s">
        <v>1690</v>
      </c>
      <c r="C52" s="2" t="str">
        <f aca="false">A52</f>
        <v>DF40C-40DS</v>
      </c>
      <c r="D52" s="3" t="str">
        <f aca="false">CONCATENATE("Schematic\Connectors\", E52, ".SchLib")</f>
        <v>Schematic\Connectors\Conn_40pin_double.SchLib</v>
      </c>
      <c r="E52" s="3" t="s">
        <v>1624</v>
      </c>
      <c r="F52" s="3" t="str">
        <f aca="false">CONCATENATE("Footprints\Connectors\", G52, ".PcbLib")</f>
        <v>Footprints\Connectors\DF40C-40DS.PcbLib</v>
      </c>
      <c r="G52" s="3" t="s">
        <v>1689</v>
      </c>
      <c r="K52" s="3" t="s">
        <v>1490</v>
      </c>
      <c r="L52" s="3" t="s">
        <v>146</v>
      </c>
    </row>
    <row r="53" customFormat="false" ht="15" hidden="false" customHeight="false" outlineLevel="0" collapsed="false">
      <c r="A53" s="0" t="s">
        <v>1691</v>
      </c>
      <c r="B53" s="0" t="s">
        <v>1692</v>
      </c>
      <c r="C53" s="2" t="s">
        <v>1691</v>
      </c>
      <c r="D53" s="3" t="str">
        <f aca="false">CONCATENATE("Schematic\Connectors\", E53, ".SchLib")</f>
        <v>Schematic\Connectors\Conn_10pin.SchLib</v>
      </c>
      <c r="E53" s="2" t="s">
        <v>1488</v>
      </c>
      <c r="F53" s="3" t="str">
        <f aca="false">CONCATENATE("Footprints\Connectors\", G53, ".PcbLib")</f>
        <v>Footprints\Connectors\M80-4001042.PcbLib</v>
      </c>
      <c r="G53" s="3" t="s">
        <v>1691</v>
      </c>
      <c r="J53" s="3" t="s">
        <v>1693</v>
      </c>
      <c r="K53" s="3" t="s">
        <v>1490</v>
      </c>
      <c r="L53" s="3" t="s">
        <v>35</v>
      </c>
    </row>
    <row r="54" customFormat="false" ht="15" hidden="false" customHeight="false" outlineLevel="0" collapsed="false">
      <c r="A54" s="0" t="s">
        <v>1694</v>
      </c>
      <c r="B54" s="0" t="s">
        <v>1695</v>
      </c>
      <c r="C54" s="0" t="s">
        <v>1691</v>
      </c>
      <c r="D54" s="0" t="str">
        <f aca="false">CONCATENATE("Schematic\Connectors\", E54, ".SchLib")</f>
        <v>Schematic\Connectors\Conn_10pin.SchLib</v>
      </c>
      <c r="E54" s="2" t="s">
        <v>1488</v>
      </c>
      <c r="F54" s="3" t="str">
        <f aca="false">CONCATENATE("Footprints\Connectors\", G54, ".PcbLib")</f>
        <v>Footprints\Connectors\M80-4001042_govnodelie.PcbLib</v>
      </c>
      <c r="G54" s="3" t="s">
        <v>1696</v>
      </c>
      <c r="J54" s="3" t="s">
        <v>1693</v>
      </c>
      <c r="K54" s="3" t="s">
        <v>1490</v>
      </c>
      <c r="L54" s="3" t="s">
        <v>35</v>
      </c>
    </row>
    <row r="55" customFormat="false" ht="15" hidden="false" customHeight="false" outlineLevel="0" collapsed="false">
      <c r="A55" s="5" t="s">
        <v>1697</v>
      </c>
      <c r="B55" s="6" t="s">
        <v>1698</v>
      </c>
      <c r="C55" s="6" t="s">
        <v>1697</v>
      </c>
      <c r="D55" s="6" t="s">
        <v>1423</v>
      </c>
      <c r="E55" s="6" t="s">
        <v>1424</v>
      </c>
      <c r="F55" s="6" t="s">
        <v>1699</v>
      </c>
      <c r="G55" s="6" t="s">
        <v>1700</v>
      </c>
      <c r="H55" s="6"/>
      <c r="I55" s="6"/>
      <c r="J55" s="6"/>
      <c r="K55" s="57" t="s">
        <v>1490</v>
      </c>
    </row>
    <row r="56" customFormat="false" ht="15" hidden="false" customHeight="false" outlineLevel="0" collapsed="false">
      <c r="A56" s="0" t="s">
        <v>1701</v>
      </c>
      <c r="B56" s="0" t="s">
        <v>1702</v>
      </c>
      <c r="C56" s="2" t="s">
        <v>1701</v>
      </c>
      <c r="D56" s="6" t="s">
        <v>1703</v>
      </c>
      <c r="E56" s="3" t="s">
        <v>1701</v>
      </c>
      <c r="F56" s="6" t="s">
        <v>1704</v>
      </c>
      <c r="G56" s="3" t="s">
        <v>1705</v>
      </c>
      <c r="J56" s="3" t="s">
        <v>1706</v>
      </c>
      <c r="K56" s="57" t="s">
        <v>1490</v>
      </c>
      <c r="L56" s="3" t="s">
        <v>35</v>
      </c>
    </row>
    <row r="57" customFormat="false" ht="16.4" hidden="false" customHeight="false" outlineLevel="0" collapsed="false">
      <c r="A57" s="0" t="s">
        <v>1707</v>
      </c>
      <c r="B57" s="0" t="s">
        <v>1708</v>
      </c>
      <c r="C57" s="0" t="str">
        <f aca="false">A57</f>
        <v>DIN41612_48_3row_straight_female</v>
      </c>
      <c r="D57" s="0" t="str">
        <f aca="false">CONCATENATE("Schematic\Connectors\", E57, ".SchLib")</f>
        <v>Schematic\Connectors\Conn_48pin_3row.SchLib</v>
      </c>
      <c r="E57" s="0" t="s">
        <v>1709</v>
      </c>
      <c r="F57" s="0" t="str">
        <f aca="false">CONCATENATE("Footprints\Connectors\", G57, ".PcbLib")</f>
        <v>Footprints\Connectors\DIN41612_48_3row_straight_female.PcbLib</v>
      </c>
      <c r="G57" s="0" t="s">
        <v>1707</v>
      </c>
      <c r="J57" s="11" t="s">
        <v>1710</v>
      </c>
      <c r="K57" s="3" t="s">
        <v>1490</v>
      </c>
      <c r="L57" s="3" t="s">
        <v>146</v>
      </c>
    </row>
    <row r="58" customFormat="false" ht="16.4" hidden="false" customHeight="false" outlineLevel="0" collapsed="false">
      <c r="A58" s="0" t="s">
        <v>1711</v>
      </c>
      <c r="B58" s="0" t="s">
        <v>1712</v>
      </c>
      <c r="C58" s="2" t="str">
        <f aca="false">A58</f>
        <v>DIN41612_48_3row_right_angle_male</v>
      </c>
      <c r="D58" s="3" t="str">
        <f aca="false">CONCATENATE("Schematic\Connectors\", E58, ".SchLib")</f>
        <v>Schematic\Connectors\Conn_48pin_3row.SchLib</v>
      </c>
      <c r="E58" s="3" t="s">
        <v>1709</v>
      </c>
      <c r="F58" s="3" t="str">
        <f aca="false">CONCATENATE("Footprints\Connectors\", G58, ".PcbLib")</f>
        <v>Footprints\Connectors\DIN41612_48_3row_right_angle_male.PcbLib</v>
      </c>
      <c r="G58" s="3" t="s">
        <v>1711</v>
      </c>
      <c r="J58" s="11" t="s">
        <v>1710</v>
      </c>
      <c r="K58" s="58" t="s">
        <v>1490</v>
      </c>
      <c r="L58" s="3" t="s">
        <v>146</v>
      </c>
    </row>
    <row r="59" customFormat="false" ht="16.4" hidden="false" customHeight="false" outlineLevel="0" collapsed="false">
      <c r="A59" s="0" t="n">
        <v>430450200</v>
      </c>
      <c r="B59" s="0" t="s">
        <v>1713</v>
      </c>
      <c r="C59" s="0" t="n">
        <v>430450200</v>
      </c>
      <c r="D59" s="0" t="s">
        <v>1520</v>
      </c>
      <c r="E59" s="0" t="s">
        <v>1521</v>
      </c>
      <c r="F59" s="0" t="s">
        <v>1714</v>
      </c>
      <c r="G59" s="0" t="s">
        <v>1715</v>
      </c>
      <c r="J59" s="0" t="s">
        <v>1716</v>
      </c>
      <c r="K59" s="0" t="s">
        <v>1490</v>
      </c>
      <c r="L59" s="0" t="s">
        <v>35</v>
      </c>
    </row>
    <row r="60" customFormat="false" ht="15" hidden="false" customHeight="false" outlineLevel="0" collapsed="false">
      <c r="A60" s="0" t="s">
        <v>1717</v>
      </c>
      <c r="B60" s="0" t="s">
        <v>1718</v>
      </c>
      <c r="C60" s="0" t="s">
        <v>1717</v>
      </c>
      <c r="D60" s="0" t="s">
        <v>1719</v>
      </c>
      <c r="E60" s="0" t="s">
        <v>1717</v>
      </c>
      <c r="F60" s="0" t="s">
        <v>1720</v>
      </c>
      <c r="G60" s="0" t="s">
        <v>1717</v>
      </c>
      <c r="J60" s="0" t="s">
        <v>1721</v>
      </c>
      <c r="K60" s="0" t="s">
        <v>1490</v>
      </c>
      <c r="L60" s="0" t="s">
        <v>35</v>
      </c>
    </row>
    <row r="61" customFormat="false" ht="16.4" hidden="false" customHeight="false" outlineLevel="0" collapsed="false">
      <c r="A61" s="0" t="s">
        <v>1722</v>
      </c>
      <c r="B61" s="0" t="s">
        <v>1723</v>
      </c>
      <c r="C61" s="2" t="s">
        <v>1724</v>
      </c>
      <c r="D61" s="3" t="str">
        <f aca="false">CONCATENATE("Schematic\Connectors\", E61, ".SchLib")</f>
        <v>Schematic\Connectors\RJ45-8p8c.SchLib</v>
      </c>
      <c r="E61" s="3" t="s">
        <v>1725</v>
      </c>
      <c r="F61" s="3" t="str">
        <f aca="false">CONCATENATE("Footprints\Connectors\", G61, ".PcbLib")</f>
        <v>Footprints\Connectors\1-406541-5.PcbLib</v>
      </c>
      <c r="G61" s="3" t="s">
        <v>1724</v>
      </c>
      <c r="J61" s="11" t="s">
        <v>1726</v>
      </c>
      <c r="K61" s="3" t="s">
        <v>1490</v>
      </c>
      <c r="L61" s="3" t="s">
        <v>146</v>
      </c>
    </row>
    <row r="62" customFormat="false" ht="16.4" hidden="false" customHeight="false" outlineLevel="0" collapsed="false">
      <c r="A62" s="0" t="s">
        <v>1727</v>
      </c>
      <c r="B62" s="0" t="s">
        <v>1728</v>
      </c>
      <c r="C62" s="0" t="s">
        <v>1727</v>
      </c>
      <c r="D62" s="6" t="s">
        <v>1729</v>
      </c>
      <c r="E62" s="3" t="s">
        <v>1727</v>
      </c>
      <c r="F62" s="6" t="s">
        <v>1730</v>
      </c>
      <c r="G62" s="3" t="s">
        <v>1727</v>
      </c>
      <c r="J62" s="11" t="s">
        <v>1731</v>
      </c>
      <c r="K62" s="57" t="s">
        <v>1490</v>
      </c>
      <c r="L62" s="3" t="s">
        <v>35</v>
      </c>
    </row>
    <row r="63" customFormat="false" ht="15" hidden="false" customHeight="false" outlineLevel="0" collapsed="false">
      <c r="A63" s="0" t="s">
        <v>1732</v>
      </c>
      <c r="B63" s="0" t="s">
        <v>1733</v>
      </c>
      <c r="C63" s="2" t="s">
        <v>1732</v>
      </c>
      <c r="D63" s="6" t="s">
        <v>1734</v>
      </c>
      <c r="E63" s="3" t="s">
        <v>1732</v>
      </c>
      <c r="F63" s="6" t="s">
        <v>1735</v>
      </c>
      <c r="G63" s="3" t="s">
        <v>1736</v>
      </c>
      <c r="J63" s="3" t="s">
        <v>1737</v>
      </c>
      <c r="K63" s="57" t="s">
        <v>1490</v>
      </c>
      <c r="L63" s="3" t="s">
        <v>35</v>
      </c>
    </row>
    <row r="64" customFormat="false" ht="15" hidden="false" customHeight="false" outlineLevel="0" collapsed="false">
      <c r="A64" s="0" t="s">
        <v>1738</v>
      </c>
      <c r="B64" s="0" t="s">
        <v>1739</v>
      </c>
      <c r="C64" s="0" t="n">
        <v>467650001</v>
      </c>
      <c r="D64" s="6" t="s">
        <v>1740</v>
      </c>
      <c r="E64" s="0" t="n">
        <v>467650001</v>
      </c>
      <c r="F64" s="6" t="s">
        <v>1741</v>
      </c>
      <c r="G64" s="0" t="n">
        <v>467650001</v>
      </c>
      <c r="J64" s="3" t="s">
        <v>1742</v>
      </c>
      <c r="K64" s="57" t="s">
        <v>1490</v>
      </c>
      <c r="L64" s="3" t="s">
        <v>35</v>
      </c>
    </row>
    <row r="65" customFormat="false" ht="15" hidden="false" customHeight="false" outlineLevel="0" collapsed="false">
      <c r="A65" s="0" t="s">
        <v>1743</v>
      </c>
      <c r="B65" s="0" t="s">
        <v>1744</v>
      </c>
      <c r="C65" s="2" t="s">
        <v>1743</v>
      </c>
      <c r="D65" s="6" t="s">
        <v>1745</v>
      </c>
      <c r="E65" s="3" t="s">
        <v>1746</v>
      </c>
      <c r="F65" s="6" t="s">
        <v>1747</v>
      </c>
      <c r="G65" s="3" t="s">
        <v>1746</v>
      </c>
      <c r="J65" s="3" t="s">
        <v>1748</v>
      </c>
      <c r="K65" s="57" t="s">
        <v>1490</v>
      </c>
      <c r="L65" s="3" t="s">
        <v>35</v>
      </c>
    </row>
    <row r="66" customFormat="false" ht="15" hidden="false" customHeight="false" outlineLevel="0" collapsed="false">
      <c r="A66" s="0" t="s">
        <v>1749</v>
      </c>
      <c r="B66" s="0" t="s">
        <v>1750</v>
      </c>
      <c r="C66" s="2" t="s">
        <v>1749</v>
      </c>
      <c r="D66" s="6" t="s">
        <v>1751</v>
      </c>
      <c r="E66" s="3" t="s">
        <v>1749</v>
      </c>
      <c r="F66" s="6" t="s">
        <v>1752</v>
      </c>
      <c r="G66" s="3" t="s">
        <v>1749</v>
      </c>
      <c r="J66" s="3" t="s">
        <v>1753</v>
      </c>
      <c r="K66" s="57" t="s">
        <v>1490</v>
      </c>
      <c r="L66" s="3" t="s">
        <v>35</v>
      </c>
    </row>
    <row r="67" customFormat="false" ht="16.4" hidden="false" customHeight="false" outlineLevel="0" collapsed="false">
      <c r="A67" s="0" t="s">
        <v>1754</v>
      </c>
      <c r="B67" s="0" t="s">
        <v>1755</v>
      </c>
      <c r="C67" s="2" t="s">
        <v>1754</v>
      </c>
      <c r="D67" s="3" t="str">
        <f aca="false">CONCATENATE("Schematic\Connectors\", E67, ".SchLib")</f>
        <v>Schematic\Connectors\Conn_4pin_sh.SchLib</v>
      </c>
      <c r="E67" s="3" t="s">
        <v>1756</v>
      </c>
      <c r="F67" s="3" t="str">
        <f aca="false">CONCATENATE("Footprints\Connectors\", G67, ".PcbLib")</f>
        <v>Footprints\Connectors\BM04B-SRSS-TB.PcbLib</v>
      </c>
      <c r="G67" s="3" t="s">
        <v>1754</v>
      </c>
      <c r="J67" s="11" t="s">
        <v>1757</v>
      </c>
      <c r="K67" s="57" t="s">
        <v>1490</v>
      </c>
      <c r="L67" s="3" t="s">
        <v>35</v>
      </c>
    </row>
    <row r="68" customFormat="false" ht="15" hidden="false" customHeight="false" outlineLevel="0" collapsed="false">
      <c r="A68" s="0" t="s">
        <v>1758</v>
      </c>
      <c r="B68" s="0" t="s">
        <v>1759</v>
      </c>
      <c r="C68" s="2" t="str">
        <f aca="false">A68</f>
        <v>Mini-USB-B5F</v>
      </c>
      <c r="D68" s="3" t="str">
        <f aca="false">CONCATENATE("Schematic\Connectors\", E68, ".SchLib")</f>
        <v>Schematic\Connectors\Mini-USB-B5F.SchLib</v>
      </c>
      <c r="E68" s="2" t="str">
        <f aca="false">C68</f>
        <v>Mini-USB-B5F</v>
      </c>
      <c r="F68" s="3" t="str">
        <f aca="false">CONCATENATE("Footprints\Connectors\", G68, ".PcbLib")</f>
        <v>Footprints\Connectors\KLS1-229-5FA.PcbLib</v>
      </c>
      <c r="G68" s="3" t="s">
        <v>1760</v>
      </c>
      <c r="J68" s="3" t="s">
        <v>1761</v>
      </c>
      <c r="K68" s="58" t="s">
        <v>1490</v>
      </c>
      <c r="L68" s="3" t="s">
        <v>200</v>
      </c>
    </row>
    <row r="69" customFormat="false" ht="15" hidden="false" customHeight="false" outlineLevel="0" collapsed="false">
      <c r="A69" s="0" t="s">
        <v>1762</v>
      </c>
      <c r="B69" s="0" t="s">
        <v>1763</v>
      </c>
      <c r="C69" s="0" t="s">
        <v>1762</v>
      </c>
      <c r="D69" s="0" t="str">
        <f aca="false">CONCATENATE("Schematic\Connectors\", E69, ".SchLib")</f>
        <v>Schematic\Connectors\Conn_64pin.SchLib</v>
      </c>
      <c r="E69" s="0" t="s">
        <v>1764</v>
      </c>
      <c r="F69" s="0" t="str">
        <f aca="false">CONCATENATE("Footprints\Connectors\", G69, ".PcbLib")</f>
        <v>Footprints\Connectors\AMPHENOL_10018783-11111TLF.PcbLib</v>
      </c>
      <c r="G69" s="0" t="s">
        <v>1765</v>
      </c>
      <c r="J69" s="0" t="s">
        <v>1766</v>
      </c>
      <c r="K69" s="0" t="s">
        <v>35</v>
      </c>
      <c r="L69" s="0" t="s">
        <v>35</v>
      </c>
    </row>
    <row r="70" customFormat="false" ht="15" hidden="false" customHeight="false" outlineLevel="0" collapsed="false">
      <c r="A70" s="59" t="s">
        <v>1767</v>
      </c>
      <c r="B70" s="3" t="s">
        <v>1768</v>
      </c>
      <c r="C70" s="2" t="str">
        <f aca="false">A70</f>
        <v>Picoblade_532610371</v>
      </c>
      <c r="D70" s="60" t="str">
        <f aca="false">CONCATENATE("Schematic\Connectors\",A70,".SchLib")</f>
        <v>Schematic\Connectors\Picoblade_532610371.SchLib</v>
      </c>
      <c r="E70" s="59" t="s">
        <v>1769</v>
      </c>
      <c r="F70" s="60" t="str">
        <f aca="false">CONCATENATE("Footprints\Connectors\",G70,".PcbLib")</f>
        <v>Footprints\Connectors\CONN_532610001-SD_03_MOL.PcbLib</v>
      </c>
      <c r="G70" s="3" t="s">
        <v>1770</v>
      </c>
      <c r="J70" s="3" t="s">
        <v>1771</v>
      </c>
      <c r="K70" s="57" t="s">
        <v>1490</v>
      </c>
      <c r="L70" s="3" t="s">
        <v>225</v>
      </c>
    </row>
    <row r="71" customFormat="false" ht="15" hidden="false" customHeight="false" outlineLevel="0" collapsed="false">
      <c r="A71" s="0" t="s">
        <v>1772</v>
      </c>
      <c r="B71" s="0" t="s">
        <v>1773</v>
      </c>
      <c r="C71" s="2" t="s">
        <v>1772</v>
      </c>
      <c r="D71" s="60" t="str">
        <f aca="false">CONCATENATE("Schematic\Connectors\", A71, ".SchLib")</f>
        <v>Schematic\Connectors\PicoBlade_53398-0471.SchLib</v>
      </c>
      <c r="E71" s="3" t="s">
        <v>1774</v>
      </c>
      <c r="F71" s="60" t="str">
        <f aca="false">CONCATENATE("Footprints\Connectors\",G71,".PcbLib")</f>
        <v>Footprints\Connectors\53398-0471.PcbLib</v>
      </c>
      <c r="G71" s="3" t="s">
        <v>1775</v>
      </c>
      <c r="J71" s="11" t="s">
        <v>1776</v>
      </c>
      <c r="K71" s="57" t="s">
        <v>1490</v>
      </c>
      <c r="L71" s="3" t="s">
        <v>225</v>
      </c>
    </row>
    <row r="72" customFormat="false" ht="15" hidden="false" customHeight="false" outlineLevel="0" collapsed="false">
      <c r="A72" s="0" t="s">
        <v>1777</v>
      </c>
      <c r="B72" s="0" t="s">
        <v>1778</v>
      </c>
      <c r="C72" s="2" t="s">
        <v>1777</v>
      </c>
      <c r="D72" s="60" t="s">
        <v>1779</v>
      </c>
      <c r="E72" s="3" t="s">
        <v>1777</v>
      </c>
      <c r="F72" s="60" t="s">
        <v>1780</v>
      </c>
      <c r="G72" s="3" t="s">
        <v>45</v>
      </c>
      <c r="J72" s="3" t="s">
        <v>1742</v>
      </c>
      <c r="K72" s="57" t="s">
        <v>1490</v>
      </c>
      <c r="L72" s="3" t="s">
        <v>35</v>
      </c>
    </row>
  </sheetData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2026-10-26T15:46:25Z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
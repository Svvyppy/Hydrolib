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82680DD9-3F13-7979-5B5F-3D2375947C00}"/>
  <workbookPr filterPrivacy="1" codeName="ЭтаКнига"/>
  <xr:revisionPtr revIDLastSave="0" documentId="13_ncr:1_{0821EF0C-0B8F-41D8-98B9-165B6335C9D8}" xr6:coauthVersionLast="47" xr6:coauthVersionMax="47" xr10:uidLastSave="{00000000-0000-0000-0000-000000000000}"/>
  <bookViews>
    <workbookView xWindow="-120" yWindow="-120" windowWidth="29040" windowHeight="15720" tabRatio="896" firstSheet="10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1" i="6" l="1"/>
  <c r="D71" i="6"/>
  <c r="F70" i="6"/>
  <c r="D70" i="6"/>
  <c r="C70" i="6"/>
  <c r="F73" i="1"/>
  <c r="D73" i="1"/>
  <c r="C73" i="1"/>
  <c r="F72" i="1"/>
  <c r="E72" i="1"/>
  <c r="D72" i="1"/>
  <c r="C72" i="1"/>
  <c r="F71" i="1"/>
  <c r="E71" i="1"/>
  <c r="D71" i="1"/>
  <c r="C71" i="1"/>
  <c r="C70" i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<sst xmlns="http://schemas.openxmlformats.org/spreadsheetml/2006/main" count="4237" uniqueCount="1770">
  <si>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</si>
  <si>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</si>
  <si>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</si>
  <si>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</si>
  <si>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</si>
  <si>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</si>
  <si>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</si>
  <si>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</si>
  <si>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</si>
  <si>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</si>
  <si>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</si>
  <si>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</si>
  <si>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</si>
  <si>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</si>
  <si>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</si>
  <si>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</si>
  <si>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</si>
  <si>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</si>
  <si>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</si>
  <si>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</si>
  <si>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</si>
  <si>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</si>
  <si>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</si>
  <si>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</si>
  <si>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</si>
  <si>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</si>
  <si>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</si>
  <si>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</si>
  <si>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</si>
  <si>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</si>
  <si>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</si>
  <si>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</si>
  <si>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</si>
  <si>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</si>
  <si>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</si>
  <si>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</si>
  <si>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</si>
  <si>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</si>
  <si>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</si>
  <si>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</si>
  <si>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</si>
  <si>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</si>
  <si>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</si>
  <si>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</si>
  <si>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</si>
  <si>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</si>
  <si>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</si>
  <si>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</si>
  <si>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</si>
  <si>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</si>
  <si>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</si>
  <si>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</si>
  <si>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</si>
  <si>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</si>
  <si>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</si>
  <si>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</si>
  <si>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</si>
  <si>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</si>
  <si>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</si>
  <si>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</si>
  <si>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</si>
  <si>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</si>
  <si>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</si>
  <si>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</si>
  <si>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</si>
  <si>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</si>
  <si>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</si>
  <si>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</si>
  <si>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</si>
  <si>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</si>
  <si>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</si>
  <si>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</si>
  <si>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</si>
  <si>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</si>
  <si>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</si>
  <si>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</si>
  <si>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</si>
  <si>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</si>
  <si>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</si>
  <si>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</si>
  <si>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</si>
  <si>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</si>
  <si>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</si>
  <si>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</si>
  <si>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</si>
  <si>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</si>
  <si>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</si>
  <si>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</si>
  <si>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</si>
  <si>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</si>
  <si>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</si>
  <si>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</si>
  <si>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</si>
  <si>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</si>
  <si>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</si>
  <si>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</si>
  <si>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</si>
  <si>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</si>
  <si>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</si>
  <si>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</si>
  <si>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</si>
  <si>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</si>
  <si>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</si>
  <si>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</si>
  <si>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</si>
  <si>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</si>
  <si>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</si>
  <si>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</si>
  <si>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</si>
  <si>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</si>
  <si>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</si>
  <si>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</si>
  <si>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</si>
  <si>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</si>
  <si>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</si>
  <si>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</si>
  <si>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</si>
  <si>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</si>
  <si>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</si>
  <si>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</si>
  <si>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</si>
  <si>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</si>
  <si>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</si>
  <si>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</si>
  <si>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</si>
  <si>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</si>
  <si>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</si>
  <si>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</si>
  <si>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</si>
  <si>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</si>
  <si>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</si>
  <si>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</si>
  <si>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</si>
  <si>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</si>
  <si>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</si>
  <si>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</si>
  <si>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</si>
  <si>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</si>
  <si>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</si>
  <si>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</si>
  <si>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</si>
  <si>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</si>
  <si>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</si>
  <si>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</si>
  <si>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</si>
  <si>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</si>
  <si>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</si>
  <si>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</si>
  <si>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</si>
  <si>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</si>
  <si>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</si>
  <si>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</si>
  <si>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</si>
  <si>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</si>
  <si>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</si>
  <si>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</si>
  <si>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</si>
  <si>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</si>
  <si>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</si>
  <si>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</si>
  <si>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</si>
  <si>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</si>
  <si>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</si>
  <si>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</si>
  <si>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</si>
  <si>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</si>
  <si>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</si>
  <si>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</si>
  <si>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</si>
  <si>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</si>
  <si>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</si>
  <si>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</si>
  <si>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</si>
  <si>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</si>
  <si>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</si>
  <si>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</si>
  <si>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</si>
  <si>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</si>
  <si>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</si>
  <si>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</si>
  <si>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</si>
  <si>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</si>
  <si>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</si>
  <si>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</si>
  <si>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</si>
  <si>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</si>
  <si>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</si>
  <si>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</si>
  <si>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</si>
  <si>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</si>
  <si>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</si>
  <si>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</si>
  <si>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</si>
  <si>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</si>
  <si>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</si>
  <si>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</si>
  <si>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</si>
  <si>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</si>
  <si>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</si>
  <si>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</si>
  <si>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</si>
  <si>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</si>
  <si>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</si>
  <si>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</si>
  <si>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</si>
  <si>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</si>
  <si>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</si>
  <si>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</si>
  <si>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</si>
  <si>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</si>
  <si>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</si>
  <si>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</si>
  <si>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</si>
  <si>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</si>
  <si>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</si>
  <si>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</si>
  <si>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</si>
  <si>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</si>
  <si>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</si>
  <si>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</si>
  <si>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</si>
  <si>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</si>
  <si>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</si>
  <si>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</si>
  <si>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</si>
  <si>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</si>
  <si>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</si>
  <si>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</si>
  <si>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</si>
  <si>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</si>
  <si>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</si>
  <si>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</si>
  <si>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</si>
  <si>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</si>
  <si>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</si>
  <si>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</si>
  <si>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</si>
  <si>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</si>
  <si>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</si>
  <si>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</si>
  <si>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</si>
  <si>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</si>
  <si>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</si>
  <si>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</si>
  <si>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</si>
  <si>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</si>
  <si>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</si>
  <si>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</si>
  <si>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</si>
  <si>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</si>
  <si>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</si>
  <si>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</si>
  <si>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</si>
  <si>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</si>
  <si>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</si>
  <si>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</si>
  <si>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</si>
  <si>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</si>
  <si>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</si>
  <si>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</si>
  <si>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</si>
  <si>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</si>
  <si>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</si>
  <si>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</si>
  <si>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</si>
  <si>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</si>
  <si>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</si>
  <si>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</si>
  <si>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</si>
  <si>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</si>
  <si>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</si>
  <si>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</si>
  <si>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</si>
  <si>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</si>
  <si>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</si>
  <si>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</si>
  <si>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</si>
  <si>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</si>
  <si>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</si>
  <si>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</si>
  <si>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</si>
  <si>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</si>
  <si>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</si>
  <si>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</si>
  <si>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</si>
  <si>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</si>
  <si>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</si>
  <si>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</si>
  <si>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</si>
  <si>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</si>
  <si>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</si>
  <si>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</si>
  <si>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</si>
  <si>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</si>
  <si>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</si>
  <si>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</si>
  <si>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</si>
  <si>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</si>
  <si>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</si>
  <si>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</si>
  <si>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</si>
  <si>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</si>
  <si>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</si>
  <si>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</si>
  <si>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</si>
  <si>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</si>
  <si>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</si>
  <si>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</si>
  <si>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</si>
  <si>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</si>
  <si>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</si>
  <si>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</si>
  <si>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</si>
  <si>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</si>
  <si>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</si>
  <si>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</si>
  <si>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</si>
  <si>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</si>
  <si>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</si>
  <si>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</si>
  <si>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</si>
  <si>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</si>
  <si>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</si>
  <si>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</si>
  <si>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</si>
  <si>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</si>
  <si>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</si>
  <si>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</si>
  <si>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</si>
  <si>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</si>
  <si>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</si>
  <si>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</si>
  <si>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</si>
  <si>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</si>
  <si>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</si>
  <si>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</si>
  <si>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</si>
  <si>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</si>
  <si>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</si>
  <si>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</si>
  <si>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</si>
  <si>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</si>
  <si>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</si>
  <si>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</si>
  <si>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</si>
  <si>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</si>
  <si>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</si>
  <si>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</si>
  <si>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</si>
  <si>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</si>
  <si>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</si>
  <si>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</si>
  <si>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</si>
  <si>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</si>
  <si>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</si>
  <si>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</si>
  <si>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</si>
  <si>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</si>
  <si>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</si>
  <si>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</si>
  <si>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</si>
  <si>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</si>
  <si>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</si>
  <si>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</si>
  <si>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</si>
  <si>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</si>
  <si>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</si>
  <si>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</si>
  <si>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</si>
  <si>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</si>
  <si>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</si>
  <si>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</si>
  <si>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</si>
  <si>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</si>
  <si>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</si>
  <si>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</si>
  <si>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</si>
  <si>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</si>
  <si>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</si>
  <si>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</si>
  <si>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</si>
  <si>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</si>
  <si>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</si>
  <si>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</si>
  <si>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</si>
  <si>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</si>
  <si>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</si>
  <si>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</si>
  <si>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</si>
  <si>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</si>
  <si>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</si>
  <si>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</si>
  <si>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</si>
  <si>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</si>
  <si>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</si>
  <si>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</si>
  <si>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</si>
  <si>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</si>
  <si>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</si>
  <si>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</si>
  <si>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</si>
  <si>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</si>
  <si>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</si>
  <si>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</si>
  <si>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</si>
  <si>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</si>
  <si>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</si>
  <si>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</si>
  <si>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</si>
  <si>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</si>
  <si>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</si>
  <si>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</si>
  <si>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</si>
  <si>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</si>
  <si>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</si>
  <si>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</si>
  <si>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</si>
  <si>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</si>
  <si>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</si>
  <si>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</si>
  <si>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</si>
  <si>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</si>
  <si>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</si>
  <si>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</si>
  <si>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</si>
  <si>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</si>
  <si>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</si>
  <si>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</si>
  <si>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</si>
  <si>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</si>
  <si>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</si>
  <si>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</si>
  <si>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</si>
  <si>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</si>
  <si>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</si>
  <si>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</si>
  <si>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</si>
  <si>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</si>
  <si>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</si>
  <si>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</si>
  <si>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</si>
  <si>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</si>
  <si>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</si>
  <si>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</si>
  <si>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</si>
  <si>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</si>
  <si>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</si>
  <si>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</si>
  <si>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</si>
  <si>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</si>
  <si>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</si>
  <si>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</si>
  <si>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</si>
  <si>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</si>
  <si>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</si>
  <si>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</si>
  <si>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</si>
  <si>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</si>
  <si>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</si>
  <si>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</si>
  <si>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</si>
  <si>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</si>
  <si>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</si>
  <si>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</si>
  <si>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</si>
  <si>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</si>
  <si>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</si>
  <si>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</si>
  <si>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</si>
  <si>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</si>
  <si>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</si>
  <si>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</si>
  <si>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</si>
  <si>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</si>
  <si>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</si>
  <si>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</si>
  <si>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</si>
  <si>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</si>
  <si>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</si>
  <si>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</si>
  <si>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</si>
  <si>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</si>
  <si>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</si>
  <si>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</si>
  <si>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</si>
  <si>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</si>
  <si>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</si>
  <si>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</si>
  <si>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</si>
  <si>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</si>
  <si>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</si>
  <si>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</si>
  <si>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</si>
  <si>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</si>
  <si>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</si>
  <si>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</si>
  <si>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</si>
  <si>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</si>
  <si>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</si>
  <si>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</si>
  <si>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</si>
  <si>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</si>
  <si>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</si>
  <si>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</si>
  <si>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</si>
  <si>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</si>
  <si>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</si>
  <si>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</si>
  <si>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</si>
  <si>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</si>
  <si>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</si>
  <si>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</si>
  <si>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</si>
  <si>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</si>
  <si>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</si>
  <si>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</si>
  <si>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</si>
  <si>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</si>
  <si>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</si>
  <si>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</si>
  <si>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</si>
  <si>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</si>
  <si>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</si>
  <si>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</si>
  <si>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</si>
  <si>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</si>
  <si>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</si>
  <si>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</si>
  <si>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</si>
  <si>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</si>
  <si>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</si>
  <si>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</si>
  <si>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</si>
  <si>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</si>
  <si>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</si>
  <si>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</si>
  <si>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</si>
  <si>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</si>
  <si>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</si>
  <si>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</si>
  <si>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</si>
  <si>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</si>
  <si>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</si>
  <si>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</si>
  <si>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</si>
  <si>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</si>
  <si>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</si>
  <si>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</si>
  <si>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</si>
  <si>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</si>
  <si>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</si>
  <si>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</si>
  <si>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</si>
  <si>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</si>
  <si>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</si>
  <si>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</si>
  <si>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</si>
  <si>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</si>
  <si>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</si>
  <si>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</si>
  <si>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</si>
  <si>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</si>
  <si>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</si>
  <si>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</si>
  <si>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</si>
  <si>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</si>
  <si>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</si>
  <si>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</si>
  <si>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</si>
  <si>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</si>
  <si>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</si>
  <si>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</si>
  <si>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</si>
  <si>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</si>
  <si>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</si>
  <si>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</si>
  <si>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</si>
  <si>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</si>
  <si>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</si>
  <si>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</si>
  <si>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</si>
  <si>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</si>
  <si>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</si>
  <si>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</si>
  <si>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</si>
  <si>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</si>
  <si>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</si>
  <si>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</si>
  <si>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</si>
  <si>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</si>
  <si>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</si>
  <si>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</si>
  <si>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</si>
  <si>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</si>
  <si>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</si>
  <si>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</si>
  <si>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</si>
  <si>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</si>
  <si>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</si>
  <si>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</si>
  <si>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</si>
  <si>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</si>
  <si>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</si>
  <si>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</si>
  <si>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</si>
  <si>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</si>
  <si>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</si>
  <si>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</si>
  <si>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</si>
  <si>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</si>
  <si>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</si>
  <si>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</si>
  <si>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</si>
  <si>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</si>
  <si>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</si>
  <si>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</si>
  <si>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</si>
  <si>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</si>
  <si>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</si>
  <si>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</si>
  <si>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</si>
  <si>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</si>
  <si>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</si>
  <si>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</si>
  <si>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</si>
  <si>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</si>
  <si>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</si>
  <si>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</si>
  <si>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</si>
  <si>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</si>
  <si>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</si>
  <si>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</si>
  <si>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</si>
  <si>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</si>
  <si>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</si>
  <si>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</si>
  <si>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</si>
  <si>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</si>
  <si>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</si>
  <si>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</si>
  <si>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</si>
  <si>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</si>
  <si>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</si>
  <si>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</si>
  <si>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</si>
  <si>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</si>
  <si>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</si>
  <si>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</si>
  <si>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</si>
  <si>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</si>
  <si>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</si>
  <si>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</si>
  <si>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</si>
  <si>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</si>
  <si>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</si>
  <si>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</si>
  <si>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</si>
  <si>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</si>
  <si>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</si>
  <si>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</si>
  <si>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</si>
  <si>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</si>
  <si>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</si>
  <si>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</si>
  <si>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</si>
  <si>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</si>
  <si>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</si>
  <si>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</si>
  <si>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</si>
  <si>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</si>
  <si>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</si>
  <si>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</si>
  <si>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</si>
  <si>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</si>
  <si>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</si>
  <si>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</si>
  <si>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</si>
  <si>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</si>
  <si>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</si>
  <si>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</si>
  <si>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</si>
  <si>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</si>
  <si>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</si>
  <si>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</si>
  <si>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</si>
  <si>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</si>
  <si>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</si>
  <si>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</si>
  <si>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</si>
  <si>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</si>
  <si>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</si>
  <si>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</si>
  <si>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</si>
  <si>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</si>
  <si>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</si>
  <si>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</si>
  <si>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</si>
  <si>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</si>
  <si>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</si>
  <si>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</si>
  <si>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</si>
  <si>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</si>
  <si>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</si>
  <si>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</si>
  <si>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</si>
  <si>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</si>
  <si>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</si>
  <si>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</si>
  <si>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</si>
  <si>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</si>
  <si>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</si>
  <si>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</si>
  <si>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</si>
  <si>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</si>
  <si>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</si>
  <si>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</si>
  <si>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</si>
  <si>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</si>
  <si>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</si>
  <si>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</si>
  <si>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</si>
  <si>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</si>
  <si>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</si>
  <si>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</si>
  <si>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</si>
  <si>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</si>
  <si>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</si>
  <si>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</si>
  <si>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</si>
  <si>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</si>
  <si>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</si>
  <si>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</si>
  <si>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</si>
  <si>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</si>
  <si>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</si>
  <si>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</si>
  <si>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</si>
  <si>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</si>
  <si>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</si>
  <si>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</si>
  <si>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</si>
  <si>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</si>
  <si>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</si>
  <si>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</si>
  <si>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</si>
  <si>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</si>
  <si>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</si>
  <si>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</si>
  <si>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</si>
  <si>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</si>
  <si>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</si>
  <si>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</si>
  <si>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</si>
  <si>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</si>
  <si>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</si>
  <si>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</si>
  <si>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</si>
  <si>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</si>
  <si>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</si>
  <si>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</si>
  <si>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</si>
  <si>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</si>
  <si>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</si>
  <si>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</si>
  <si>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</si>
  <si>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</si>
  <si>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</si>
  <si>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</si>
  <si>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</si>
  <si>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</si>
  <si>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</si>
  <si>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</si>
  <si>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</si>
  <si>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</si>
  <si>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</si>
  <si>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</si>
  <si>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</si>
  <si>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</si>
  <si>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</si>
  <si>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</si>
  <si>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</si>
  <si>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</si>
  <si>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</si>
  <si>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</si>
  <si>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</si>
  <si>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</si>
  <si>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</si>
  <si>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</si>
  <si>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</si>
  <si>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</si>
  <si>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</si>
  <si>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</si>
  <si>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</si>
  <si>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</si>
  <si>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</si>
  <si>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</si>
  <si>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</si>
  <si>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</si>
  <si>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</si>
  <si>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</si>
  <si>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</si>
  <si>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</si>
  <si>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</si>
  <si>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</si>
  <si>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</si>
  <si>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</si>
  <si>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</si>
  <si>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</si>
  <si>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</si>
  <si>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</si>
  <si>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</si>
  <si>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</si>
  <si>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</si>
  <si>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</si>
  <si>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</si>
  <si>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</si>
  <si>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</si>
  <si>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</si>
  <si>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</si>
  <si>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</si>
  <si>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</si>
  <si>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</si>
  <si>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</si>
  <si>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</si>
  <si>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</si>
  <si>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</si>
  <si>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</si>
  <si>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</si>
  <si>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</si>
  <si>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</si>
  <si>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</si>
  <si>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</si>
  <si>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</si>
  <si>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</si>
  <si>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</si>
  <si>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</si>
  <si>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</si>
  <si>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</si>
  <si>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</si>
  <si>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</si>
  <si>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</si>
  <si>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</si>
  <si>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</si>
  <si>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</si>
  <si>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</si>
  <si>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</si>
  <si>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</si>
  <si>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</si>
  <si>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</si>
  <si>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</si>
  <si>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</si>
  <si>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</si>
  <si>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</si>
  <si>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</si>
  <si>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</si>
  <si>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</si>
  <si>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</si>
  <si>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</si>
  <si>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</si>
  <si>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</si>
  <si>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</si>
  <si>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</si>
  <si>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</si>
  <si>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</si>
  <si>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</si>
  <si>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</si>
  <si>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</si>
  <si>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</si>
  <si>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</si>
  <si>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</si>
  <si>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</si>
  <si>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</si>
  <si>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</si>
  <si>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</si>
  <si>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</si>
  <si>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</si>
  <si>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</si>
  <si>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</si>
  <si>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</si>
  <si>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</si>
  <si>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</si>
  <si>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</si>
  <si>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</si>
  <si>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</si>
  <si>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</si>
  <si>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</si>
  <si>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</si>
  <si>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</si>
  <si>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</si>
  <si>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</si>
  <si>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</si>
  <si>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</si>
  <si>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</si>
  <si>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</si>
  <si>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</si>
  <si>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</si>
  <si>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</si>
  <si>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</si>
  <si>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</si>
  <si>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</si>
  <si>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</si>
  <si>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</si>
  <si>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</si>
  <si>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</si>
  <si>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</si>
  <si>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</si>
  <si>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</si>
  <si>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</si>
  <si>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</si>
  <si>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</si>
  <si>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</si>
  <si>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</si>
  <si>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</si>
  <si>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</si>
  <si>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</si>
  <si>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</si>
  <si>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</si>
  <si>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</si>
  <si>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</si>
  <si>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</si>
  <si>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</si>
  <si>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</si>
  <si>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</si>
  <si>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</si>
  <si>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</si>
  <si>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</si>
  <si>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</si>
  <si>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</si>
  <si>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</si>
  <si>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</si>
  <si>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</si>
  <si>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</si>
  <si>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</si>
  <si>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</si>
  <si>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</si>
  <si>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</si>
  <si>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</si>
  <si>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</si>
  <si>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</si>
  <si>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</si>
  <si>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</si>
  <si>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</si>
  <si>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</si>
  <si>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</si>
  <si>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</si>
  <si>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</si>
  <si>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</si>
  <si>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</si>
  <si>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</si>
  <si>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</si>
  <si>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</si>
  <si>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</si>
  <si>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</si>
  <si>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</si>
  <si>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</si>
  <si>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</si>
  <si>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</si>
  <si>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</si>
  <si>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</si>
  <si>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</si>
  <si>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</si>
  <si>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</si>
  <si>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</si>
  <si>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</si>
  <si>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</si>
  <si>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</si>
  <si>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</si>
  <si>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</si>
  <si>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</si>
  <si>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</si>
  <si>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</si>
  <si>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</si>
  <si>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</si>
  <si>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</si>
  <si>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</si>
  <si>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</si>
  <si>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</si>
  <si>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</si>
  <si>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</si>
  <si>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</si>
  <si>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</si>
  <si>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</si>
  <si>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</si>
  <si>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</si>
  <si>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</si>
  <si>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</si>
  <si>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</si>
  <si>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</si>
  <si>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</si>
  <si>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</si>
  <si>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</si>
  <si>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</si>
  <si>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</si>
  <si>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</si>
  <si>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</si>
  <si>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</si>
  <si>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</si>
  <si>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</si>
  <si>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</si>
  <si>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</si>
  <si>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</si>
  <si>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</si>
  <si>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</si>
  <si>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</si>
  <si>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</si>
  <si>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</si>
  <si>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</si>
  <si>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</si>
  <si>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</si>
  <si>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</si>
  <si>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</si>
  <si>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</si>
  <si>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</si>
  <si>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</si>
  <si>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</si>
  <si>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</si>
  <si>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</si>
  <si>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</si>
  <si>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</si>
  <si>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</si>
  <si>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</si>
  <si>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</si>
  <si>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</si>
  <si>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</si>
  <si>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</si>
  <si>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</si>
  <si>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</si>
  <si>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</si>
  <si>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</si>
  <si>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</si>
  <si>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</si>
  <si>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</si>
  <si>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</si>
  <si>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</si>
  <si>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</si>
  <si>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</si>
  <si>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</si>
  <si>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</si>
  <si>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</si>
  <si>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</si>
  <si>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</si>
  <si>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</si>
  <si>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</si>
  <si>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</si>
  <si>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</si>
  <si>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</si>
  <si>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</si>
  <si>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</si>
  <si>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</si>
  <si>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</si>
  <si>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</si>
  <si>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</si>
  <si>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</si>
  <si>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</si>
  <si>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</si>
  <si>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</si>
  <si>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</si>
  <si>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</si>
  <si>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</si>
  <si>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</si>
  <si>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</si>
  <si>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</si>
  <si>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</si>
  <si>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</si>
  <si>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</si>
  <si>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</si>
  <si>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</si>
  <si>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</si>
  <si>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</si>
  <si>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</si>
  <si>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</si>
  <si>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</si>
  <si>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</si>
  <si>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</si>
  <si>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</si>
  <si>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</si>
  <si>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</si>
  <si>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</si>
  <si>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</si>
  <si>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</si>
  <si>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</si>
  <si>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</si>
  <si>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</si>
  <si>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</si>
  <si>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</si>
  <si>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</si>
  <si>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</si>
  <si>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</si>
  <si>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</si>
  <si>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</si>
  <si>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</si>
  <si>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</si>
  <si>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</si>
  <si>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</si>
  <si>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</si>
  <si>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</si>
  <si>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</si>
  <si>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</si>
  <si>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</si>
  <si>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</si>
  <si>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</si>
  <si>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</si>
  <si>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</si>
  <si>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</si>
  <si>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</si>
  <si>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</si>
  <si>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</si>
  <si>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</si>
  <si>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</si>
  <si>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</si>
  <si>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</si>
  <si>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</si>
  <si>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</si>
  <si>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</si>
  <si>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</si>
  <si>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</si>
  <si>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</si>
  <si>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</si>
  <si>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</si>
  <si>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</si>
  <si>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</si>
  <si>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</si>
  <si>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</si>
  <si>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</si>
  <si>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</si>
  <si>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</si>
  <si>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</si>
  <si>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</si>
  <si>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</si>
  <si>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</si>
  <si>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</si>
  <si>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</si>
  <si>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</si>
  <si>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</si>
  <si>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</si>
  <si>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</si>
  <si>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</si>
  <si>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</si>
  <si>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</si>
  <si>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</si>
  <si>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</si>
  <si>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</si>
  <si>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</si>
  <si>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</si>
  <si>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</si>
  <si>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</si>
  <si>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</si>
  <si>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</si>
  <si>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</si>
  <si>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</si>
  <si>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</si>
  <si>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</si>
  <si>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</si>
  <si>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</si>
  <si>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</si>
  <si>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</si>
  <si>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</si>
  <si>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</si>
  <si>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</si>
  <si>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</si>
  <si>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</si>
  <si>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</si>
  <si>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</si>
  <si>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</si>
  <si>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</si>
  <si>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</si>
  <si>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</si>
  <si>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</si>
  <si>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</si>
  <si>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</si>
  <si>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</si>
  <si>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</si>
  <si>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</si>
  <si>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</si>
  <si>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</si>
  <si>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</si>
  <si>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</si>
  <si>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</si>
  <si>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</si>
  <si>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</si>
  <si>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</si>
  <si>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</si>
  <si>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</si>
  <si>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</si>
  <si>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</si>
  <si>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</si>
  <si>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</si>
  <si>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</si>
  <si>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</si>
  <si>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</si>
  <si>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</si>
  <si>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</si>
  <si>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</si>
  <si>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</si>
  <si>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</si>
  <si>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</si>
  <si>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</si>
  <si>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</si>
  <si>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</si>
  <si>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</si>
  <si>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</si>
  <si>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</si>
  <si>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</si>
  <si>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</si>
  <si>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</si>
  <si>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</si>
  <si>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</si>
  <si>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</si>
  <si>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</si>
  <si>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</si>
  <si>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</si>
  <si>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</si>
  <si>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</si>
  <si>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</si>
  <si>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</si>
  <si>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</si>
  <si>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</si>
  <si>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</si>
  <si>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</si>
  <si>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</si>
  <si>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</si>
  <si>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</si>
  <si>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</si>
  <si>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</si>
  <si>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</si>
  <si>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</si>
  <si>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</si>
  <si>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</si>
  <si>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</si>
  <si>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</si>
  <si>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</si>
  <si>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</si>
  <si>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</si>
  <si>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</si>
  <si>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</si>
  <si>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</si>
  <si>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</si>
  <si>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</si>
  <si>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</si>
  <si>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</si>
  <si>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</si>
  <si>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</si>
  <si>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</si>
  <si>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</si>
  <si>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</si>
  <si>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</si>
  <si>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</si>
  <si>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</si>
  <si>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</si>
  <si>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</si>
  <si>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</si>
  <si>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</si>
  <si>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</si>
  <si>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</si>
  <si>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</si>
  <si>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</si>
  <si>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</si>
  <si>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</si>
  <si>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</si>
  <si>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</si>
  <si>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</si>
  <si>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</si>
  <si>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</si>
  <si>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</si>
  <si>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</si>
  <si>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</si>
  <si>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</si>
  <si>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</si>
  <si>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</si>
  <si>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</si>
  <si>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</si>
  <si>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</si>
  <si>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</si>
  <si>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</si>
  <si>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</si>
  <si>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</si>
  <si>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</si>
  <si>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</si>
  <si>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</si>
  <si>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</si>
  <si>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</si>
  <si>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</si>
  <si>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</si>
  <si>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</si>
  <si>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</si>
  <si>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</si>
  <si>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</si>
  <si>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</si>
  <si>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</si>
  <si>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</si>
  <si>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</si>
  <si>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</si>
  <si>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</si>
  <si>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</si>
  <si>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</si>
  <si>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</si>
  <si>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</si>
  <si>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</si>
  <si>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</si>
  <si>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</si>
  <si>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</si>
  <si>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</si>
  <si>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</si>
  <si>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</si>
  <si>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</si>
  <si>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</si>
  <si>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</si>
  <si>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</si>
  <si>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</si>
  <si>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</si>
  <si>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</si>
  <si>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</si>
  <si>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</si>
  <si>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</si>
  <si>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</si>
  <si>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</si>
  <si>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</si>
  <si>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</si>
  <si>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</si>
  <si>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</si>
  <si>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</si>
  <si>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</si>
  <si>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</si>
  <si>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</si>
  <si>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</si>
  <si>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</si>
  <si>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</si>
  <si>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</si>
  <si>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</si>
  <si>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</si>
  <si>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</si>
  <si>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</si>
  <si>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</si>
  <si>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</si>
  <si>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</si>
  <si>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</si>
  <si>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</si>
  <si>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</si>
  <si>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</si>
  <si>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</si>
  <si>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</si>
  <si>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</si>
  <si>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</si>
  <si>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</si>
  <si>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</si>
  <si>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</si>
  <si>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</si>
  <si>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</si>
  <si>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</si>
  <si>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</si>
  <si>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</si>
  <si>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</si>
  <si>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</si>
  <si>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</si>
  <si>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</si>
  <si>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</si>
  <si>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</si>
  <si>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</si>
  <si>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</si>
  <si>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</si>
  <si>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</si>
  <si>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</si>
  <si>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</si>
  <si>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</si>
  <si>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</si>
  <si>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</si>
  <si>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</si>
  <si>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</si>
  <si>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</si>
  <si>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</si>
  <si>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</si>
  <si>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</si>
  <si>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</si>
  <si>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</si>
  <si>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</si>
  <si>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</si>
  <si>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</si>
  <si>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</si>
  <si>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</si>
  <si>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</si>
  <si>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</si>
  <si>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</si>
  <si>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</si>
  <si>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</si>
  <si>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</si>
  <si>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</si>
  <si>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</si>
  <si>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</si>
  <si>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</si>
  <si>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</si>
  <si>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</si>
  <si>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</si>
  <si>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</si>
  <si>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</si>
  <si>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</si>
  <si>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</si>
  <si>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</si>
  <si>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</si>
  <si>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</si>
  <si>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</si>
  <si>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</si>
  <si>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</si>
  <si>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</si>
  <si>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</si>
  <si>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</si>
  <si>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</si>
  <si>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</si>
  <si>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</si>
  <si>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</si>
  <si>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</si>
  <si>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</si>
  <si>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</si>
  <si>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</si>
  <si>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</si>
  <si>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</si>
  <si>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</si>
  <si>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</si>
  <si>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</si>
  <si>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</si>
  <si>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</si>
  <si>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</si>
  <si>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</si>
  <si>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</si>
  <si>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</si>
  <si>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</si>
  <si>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</si>
  <si>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</si>
  <si>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</si>
  <si>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</si>
  <si>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</si>
  <si>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</si>
  <si>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</si>
  <si>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</si>
  <si>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</si>
  <si>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</si>
  <si>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</si>
  <si>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</si>
  <si>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</si>
  <si>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</si>
  <si>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</si>
  <si>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</si>
  <si>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</si>
  <si>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</si>
  <si>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</si>
  <si>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</si>
  <si>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</si>
  <si>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</si>
  <si>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</si>
  <si>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</si>
  <si>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</si>
  <si>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</si>
  <si>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</si>
  <si>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</si>
  <si>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</si>
  <si>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</si>
  <si>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</si>
  <si>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</si>
  <si>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</si>
  <si>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</si>
  <si>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</si>
  <si>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</si>
  <si>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</si>
  <si>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</si>
  <si>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</si>
  <si>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</si>
  <si>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</si>
  <si>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</si>
  <si>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</si>
  <si>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</si>
  <si>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</si>
  <si>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</si>
  <si>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</si>
  <si>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</si>
  <si>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</si>
  <si>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</si>
  <si>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</si>
  <si>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</si>
  <si>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</si>
  <si>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</si>
  <si>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</si>
  <si>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</si>
  <si>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</si>
  <si>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</si>
  <si>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</si>
  <si>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</si>
  <si>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</si>
  <si>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</si>
  <si>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</si>
  <si>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</si>
  <si>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</si>
  <si>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</si>
  <si>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</si>
  <si>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</si>
  <si>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</si>
  <si>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</si>
  <si>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</si>
  <si>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</si>
  <si>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</si>
  <si>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</si>
  <si>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</si>
  <si>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</si>
  <si>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</si>
  <si>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</si>
  <si>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</si>
  <si>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</si>
  <si>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</si>
  <si>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</si>
  <si>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</si>
  <si>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</si>
  <si>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</si>
  <si>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</si>
  <si>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</si>
  <si>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</si>
  <si>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</si>
  <si>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</si>
  <si>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</si>
  <si>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</si>
  <si>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</si>
  <si>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</si>
  <si>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</si>
  <si>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</si>
  <si>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</si>
  <si>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</si>
  <si>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</si>
  <si>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</si>
  <si>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</si>
  <si>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</si>
  <si>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</si>
  <si>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</si>
  <si>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</si>
  <si>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</si>
  <si>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</si>
  <si>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</si>
  <si>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</si>
  <si>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</si>
  <si>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</si>
  <si>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</si>
  <si>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</si>
  <si>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</si>
  <si>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</si>
  <si>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</si>
  <si>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</si>
  <si>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</si>
  <si>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</si>
  <si>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</si>
  <si>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</si>
  <si>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</si>
  <si>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</si>
  <si>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</si>
  <si>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</si>
  <si>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</si>
  <si>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</si>
  <si>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</si>
  <si>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</si>
  <si>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</si>
  <si>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</si>
  <si>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</si>
  <si>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</si>
  <si>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</si>
  <si>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</si>
  <si>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</si>
  <si>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</si>
  <si>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</si>
  <si>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</si>
  <si>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</si>
  <si>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</si>
  <si>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</si>
  <si>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</si>
  <si>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</si>
  <si>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</si>
  <si>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</si>
  <si>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</si>
  <si>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</si>
  <si>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</si>
  <si>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</si>
  <si>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</si>
  <si>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</si>
  <si>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</si>
  <si>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</si>
  <si>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</si>
  <si>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</si>
  <si>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</si>
  <si>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</si>
  <si>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</si>
  <si>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</si>
  <si>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</si>
  <si>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</si>
  <si>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</si>
  <si>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</si>
  <si>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</si>
  <si>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</si>
  <si>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</si>
  <si>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</si>
  <si>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</si>
  <si>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</si>
  <si>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</si>
  <si>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</si>
  <si>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</si>
  <si>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</si>
  <si>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</si>
  <si>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</si>
  <si>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</si>
  <si>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</si>
  <si>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</si>
  <si>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</si>
  <si>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</si>
  <si>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</si>
  <si>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</si>
  <si>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</si>
  <si>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</si>
  <si>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</si>
  <si>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</si>
  <si>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</si>
  <si>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</si>
  <si>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</si>
  <si>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</si>
  <si>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</si>
  <si>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</si>
  <si>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</si>
  <si>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</si>
  <si>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</si>
  <si>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</si>
  <si>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</si>
  <si>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</si>
  <si>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</si>
  <si>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</si>
  <si>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</si>
  <si>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</si>
  <si>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</si>
  <si>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</si>
  <si>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</si>
  <si>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</si>
  <si>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</si>
  <si>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</si>
  <si>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</si>
  <si>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</si>
  <si>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</si>
  <si>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</si>
  <si>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</si>
  <si>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</si>
  <si>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</si>
  <si>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</si>
  <si>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</si>
  <si>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</si>
  <si>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</si>
  <si>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</si>
  <si>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</si>
  <si>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</si>
  <si>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</si>
  <si>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</si>
  <si>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</si>
  <si>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</si>
  <si>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</si>
  <si>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</si>
  <si>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</si>
  <si>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</si>
  <si>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</si>
  <si>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</si>
  <si>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</si>
  <si>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</si>
  <si>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</si>
  <si>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</si>
  <si>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</si>
  <si>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</si>
  <si>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</si>
  <si>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</si>
  <si>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</si>
  <si>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</si>
  <si>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</si>
  <si>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</si>
  <si>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</si>
  <si>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</si>
  <si>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</si>
  <si>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</si>
  <si>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</si>
  <si>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</si>
  <si>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</si>
  <si>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</si>
  <si>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</si>
  <si>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</si>
  <si>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</si>
  <si>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</si>
  <si>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</si>
  <si>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</si>
  <si>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</si>
  <si>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</si>
  <si>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</si>
  <si>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</si>
  <si>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</si>
  <si>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</si>
  <si>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</si>
  <si>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</si>
  <si>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</si>
  <si>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</si>
  <si>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</si>
  <si>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</si>
  <si>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</si>
  <si>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</si>
  <si>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</si>
  <si>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</si>
  <si>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</si>
  <si>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</si>
  <si>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</si>
  <si>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</si>
  <si>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</si>
  <si>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</si>
  <si>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</si>
  <si>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</si>
  <si>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</si>
  <si>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</si>
  <si>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</si>
  <si>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</si>
  <si>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</si>
  <si>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</si>
  <si>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</si>
  <si>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</si>
  <si>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</si>
  <si>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</si>
  <si>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</si>
  <si>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</si>
  <si>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</si>
  <si>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</si>
  <si>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</si>
  <si>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</si>
  <si>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</si>
  <si>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</si>
  <si>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</si>
  <si>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</si>
  <si>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</si>
  <si>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</si>
  <si>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</si>
  <si>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</si>
  <si>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</si>
  <si>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</si>
  <si>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</si>
  <si>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</si>
  <si>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</si>
  <si>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</si>
  <si>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</si>
  <si>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</si>
  <si>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</si>
  <si>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</si>
  <si>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</si>
  <si>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</si>
  <si>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</si>
  <si>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</si>
  <si>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</si>
  <si>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https://www.chipdip.ru/product/adr02bujz-reel7-analog-devices-8001656524</t>
  </si>
  <si>
    <t>Vouka05</t>
  </si>
  <si>
    <t>https://www.chipdip.ru/product/ads1220ipwr-24-bit-sigma-delta-texas-instruments-9000527504</t>
  </si>
  <si>
    <t>Vouka06</t>
  </si>
  <si>
    <t>https://www.chipdip.ru/product/max3051eka-t-can-transiver-1mbps-3.3v-sot-23-8-maxim-9000980588</t>
  </si>
  <si>
    <t>AP63203WU-7</t>
  </si>
  <si>
    <t>DC-DC Преобразователь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</si>
  <si>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</si>
  <si>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</si>
  <si>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</si>
  <si>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</si>
  <si>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</si>
  <si>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</si>
  <si>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</si>
  <si>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</si>
  <si>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</si>
  <si>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</si>
  <si>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</si>
  <si>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</si>
  <si>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</si>
  <si>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</si>
  <si>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Столбец1</t>
  </si>
  <si>
    <t>Столбец2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</si>
</sst>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top"/>
    </xf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3" tableType="xml" totalsRowShown="0" headerRowDxfId="146" connectionId="6">
  <autoFilter ref="A1:M73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N71" tableType="xml" totalsRowShown="0" headerRowDxfId="3" connectionId="7">
  <autoFilter ref="A1:N71" xr:uid="{1A41BD32-B698-4872-A86C-4CAC56B9AD83}"/>
  <tableColumns count="14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  <tableColumn id="13" xr3:uid="{24AD4F99-B35A-4243-A80F-480FEDF99238}" uniqueName="13" name="Столбец1"/>
    <tableColumn id="14" xr3:uid="{B2C0751C-B905-4DAF-AEB8-9116B5A08DB5}" uniqueName="14" name="Столбец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3"/>
  <sheetViews>
    <sheetView topLeftCell="H47" zoomScale="85" zoomScaleNormal="85" workbookViewId="0">
      <selection activeCell="F77" sqref="F77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2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2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2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2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2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2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2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2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2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2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2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2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2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2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2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2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2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2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2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2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2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2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2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2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2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2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2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2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2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2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2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2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2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2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2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2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2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2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2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2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2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2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2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2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2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2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2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2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2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2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2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2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25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  <row r="71" spans="1:13" x14ac:dyDescent="0.25">
      <c r="A71" t="s">
        <v>1754</v>
      </c>
      <c r="B71" t="s">
        <v>1755</v>
      </c>
      <c r="C71" s="2" t="str">
        <f>A71</f>
        <v>ADR02BUJZ</v>
      </c>
      <c r="D71" t="str">
        <f>CONCATENATE("Schematic\",A71,".SchLib")</f>
        <v>Schematic\ADR02BUJZ.SchLib</v>
      </c>
      <c r="E71" t="str">
        <f>A71</f>
        <v>ADR02BUJZ</v>
      </c>
      <c r="F71" t="str">
        <f t="shared" ref="F71:F72" si="32">CONCATENATE("Footprints\",G71,".PcbLib")</f>
        <v>Footprints\SOT23-5.PcbLib</v>
      </c>
      <c r="G71" s="56" t="s">
        <v>1376</v>
      </c>
      <c r="L71" s="38" t="s">
        <v>1747</v>
      </c>
      <c r="M71" t="s">
        <v>1748</v>
      </c>
    </row>
    <row r="72" spans="1:13" x14ac:dyDescent="0.25">
      <c r="A72" t="s">
        <v>1756</v>
      </c>
      <c r="B72" s="59" t="s">
        <v>1757</v>
      </c>
      <c r="C72" s="2" t="str">
        <f>A72</f>
        <v>ADS1220IPWR</v>
      </c>
      <c r="D72" t="str">
        <f>CONCATENATE("Schematic\",A72,".SchLib")</f>
        <v>Schematic\ADS1220IPWR.SchLib</v>
      </c>
      <c r="E72" t="str">
        <f>A72</f>
        <v>ADS1220IPWR</v>
      </c>
      <c r="F72" t="str">
        <f t="shared" si="32"/>
        <v>Footprints\TSSOP-16.PcbLib</v>
      </c>
      <c r="G72" t="s">
        <v>722</v>
      </c>
      <c r="L72" s="38" t="s">
        <v>1749</v>
      </c>
      <c r="M72" t="s">
        <v>1750</v>
      </c>
    </row>
    <row r="73" spans="1:13" x14ac:dyDescent="0.25">
      <c r="A73" t="s">
        <v>1752</v>
      </c>
      <c r="B73" t="s">
        <v>1753</v>
      </c>
      <c r="C73" s="2">
        <f>A74</f>
        <v>0</v>
      </c>
      <c r="D73" t="str">
        <f>CONCATENATE("Schematic\",A74,".SchLib")</f>
        <v>Schematic\.SchLib</v>
      </c>
      <c r="E73" t="s">
        <v>1752</v>
      </c>
      <c r="F73" t="str">
        <f>CONCATENATE("Footprints\",G73,".PcbLib")</f>
        <v>Footprints\SOT23-8.PcbLib</v>
      </c>
      <c r="G73" t="s">
        <v>1697</v>
      </c>
      <c r="L73" s="38" t="s">
        <v>1751</v>
      </c>
      <c r="M73" t="s">
        <v>1750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2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2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2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2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2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2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2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2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2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2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15" customHeight="1" x14ac:dyDescent="0.2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2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2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2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2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2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2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2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25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75" x14ac:dyDescent="0.2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75" x14ac:dyDescent="0.2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75" x14ac:dyDescent="0.2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75" x14ac:dyDescent="0.2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75" x14ac:dyDescent="0.2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75" x14ac:dyDescent="0.2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75" x14ac:dyDescent="0.2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75" x14ac:dyDescent="0.2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75" x14ac:dyDescent="0.2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75" x14ac:dyDescent="0.2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75" x14ac:dyDescent="0.2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75" x14ac:dyDescent="0.2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75" x14ac:dyDescent="0.2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75" x14ac:dyDescent="0.2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75" x14ac:dyDescent="0.2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75" x14ac:dyDescent="0.2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75" x14ac:dyDescent="0.2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2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75" x14ac:dyDescent="0.2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75" x14ac:dyDescent="0.2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75" x14ac:dyDescent="0.2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75" x14ac:dyDescent="0.2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2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2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75" x14ac:dyDescent="0.2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75" x14ac:dyDescent="0.2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75" x14ac:dyDescent="0.2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75" x14ac:dyDescent="0.2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75" x14ac:dyDescent="0.2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75" x14ac:dyDescent="0.2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2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2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2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2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2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2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2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2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2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2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2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2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2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2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2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2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2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2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2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2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2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2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2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2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2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2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2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2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2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2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2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2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2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2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2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2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2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2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2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2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2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2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2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2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2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2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2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2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2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2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2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2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2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2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2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2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2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2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2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2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2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2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2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2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2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2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2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2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2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2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2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2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2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2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2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2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2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2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2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2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2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2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75" x14ac:dyDescent="0.2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22.42578125" customWidth="1"/>
    <col min="13" max="13" width="17.85546875" customWidth="1"/>
    <col min="15" max="15" width="11.71093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2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2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2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2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2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2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2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2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2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2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2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2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2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2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2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2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2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2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2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2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2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25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25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N71"/>
  <sheetViews>
    <sheetView tabSelected="1" topLeftCell="B45" zoomScale="73" zoomScaleNormal="46" workbookViewId="0">
      <selection activeCell="H76" sqref="H76"/>
    </sheetView>
  </sheetViews>
  <sheetFormatPr defaultRowHeight="15" x14ac:dyDescent="0.25"/>
  <cols>
    <col min="1" max="1" width="14.7109375" customWidth="1"/>
    <col min="2" max="2" width="225.140625" bestFit="1" customWidth="1"/>
    <col min="3" max="3" width="38.42578125" bestFit="1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4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1768</v>
      </c>
      <c r="N1" s="1" t="s">
        <v>1769</v>
      </c>
    </row>
    <row r="2" spans="1:14" x14ac:dyDescent="0.2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4" x14ac:dyDescent="0.2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4" x14ac:dyDescent="0.2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4" x14ac:dyDescent="0.2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4" x14ac:dyDescent="0.2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4" x14ac:dyDescent="0.2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4" x14ac:dyDescent="0.2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4" x14ac:dyDescent="0.2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4" x14ac:dyDescent="0.2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4" x14ac:dyDescent="0.2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4" x14ac:dyDescent="0.2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4" x14ac:dyDescent="0.2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4" x14ac:dyDescent="0.2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4" x14ac:dyDescent="0.2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4" x14ac:dyDescent="0.2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2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2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2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2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2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2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2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2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2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2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2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2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2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2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2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2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2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2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2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2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2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2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2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2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2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2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2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2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2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2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2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2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2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2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2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2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2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2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2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2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2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2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2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2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2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2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2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2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2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2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2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25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25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25">
      <c r="A70" s="60" t="s">
        <v>1758</v>
      </c>
      <c r="B70" t="s">
        <v>1759</v>
      </c>
      <c r="C70" s="2" t="str">
        <f>A70</f>
        <v>Picoblade_532610371</v>
      </c>
      <c r="D70" t="str">
        <f>CONCATENATE("Schematic\Connectors\",A70,".SchLib")</f>
        <v>Schematic\Connectors\Picoblade_532610371.SchLib</v>
      </c>
      <c r="E70" s="60" t="s">
        <v>1760</v>
      </c>
      <c r="F70" s="61" t="str">
        <f>CONCATENATE("Footprints\Connectors\",G70,".PcbLib")</f>
        <v>Footprints\Connectors\CONN_532610001-SD_03_MOL.PcbLib</v>
      </c>
      <c r="G70" t="s">
        <v>1761</v>
      </c>
      <c r="J70" t="s">
        <v>1762</v>
      </c>
      <c r="K70" s="40" t="s">
        <v>978</v>
      </c>
      <c r="L70" t="s">
        <v>1750</v>
      </c>
    </row>
    <row r="71" spans="1:12" x14ac:dyDescent="0.25">
      <c r="A71" t="s">
        <v>1763</v>
      </c>
      <c r="B71" t="s">
        <v>1764</v>
      </c>
      <c r="C71" t="s">
        <v>1763</v>
      </c>
      <c r="D71" t="str">
        <f>CONCATENATE("Schematic\Connectors\", A71, ".SchLib")</f>
        <v>Schematic\Connectors\PicoBlade_53398-0471.SchLib</v>
      </c>
      <c r="E71" t="s">
        <v>1765</v>
      </c>
      <c r="F71" s="61" t="str">
        <f>CONCATENATE("Footprints\Connectors\",G71,".PcbLib")</f>
        <v>Footprints\Connectors\53398-0471.PcbLib</v>
      </c>
      <c r="G71" t="s">
        <v>1766</v>
      </c>
      <c r="J71" s="38" t="s">
        <v>1767</v>
      </c>
      <c r="K71" s="40" t="s">
        <v>978</v>
      </c>
      <c r="L71" t="s">
        <v>1750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2026-10-26T16:55:57Z</dcterms:modified>
</cp:coreProperties>
</file>